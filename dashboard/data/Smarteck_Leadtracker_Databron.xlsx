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swijzer" sheetId="1" state="visible" r:id="rId3"/>
    <sheet name="Keuzelijsten" sheetId="2" state="visible" r:id="rId4"/>
    <sheet name="Leads" sheetId="3" state="visible" r:id="rId5"/>
    <sheet name="Aannames" sheetId="4" state="visible" r:id="rId6"/>
    <sheet name="Contactpersonen" sheetId="5" state="visible" r:id="rId7"/>
    <sheet name="Overeenkomsten" sheetId="6" state="visible" r:id="rId8"/>
    <sheet name="Bronnen" sheetId="7" state="visible" r:id="rId9"/>
    <sheet name="Ontwikkelstappen" sheetId="8" state="visible" r:id="rId10"/>
    <sheet name="Voortgang" sheetId="9" state="visible" r:id="rId11"/>
    <sheet name="Overzicht" sheetId="10" state="visible" r:id="rId12"/>
    <sheet name="Matrix_Vastgoed" sheetId="11" state="visible" r:id="rId13"/>
    <sheet name="Matrix_Energiehub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<sst xmlns="http://schemas.openxmlformats.org/spreadsheetml/2006/main" count="946" uniqueCount="530">
  <si>
    <t xml:space="preserve">Smarteck - Leadtracker en ontwikkelstappen</t>
  </si>
  <si>
    <t xml:space="preserve">Twee doelgroepen, een systeem: vastgoedontwikkelaars en energiehubs</t>
  </si>
  <si>
    <t xml:space="preserve">Waarvoor is dit?</t>
  </si>
  <si>
    <t xml:space="preserve">Dit werkboek houdt vier dingen bij per lead: wie het is, welke overeenkomsten er liggen en in welke status, welke bronnen de lead al met ons heeft gedeeld, en waar wij staan in de ontwikkelstappen.</t>
  </si>
  <si>
    <t xml:space="preserve">Invoerbladen</t>
  </si>
  <si>
    <t xml:space="preserve">Hier werkt u in.</t>
  </si>
  <si>
    <t xml:space="preserve">Leads</t>
  </si>
  <si>
    <t xml:space="preserve">Een regel per lead, met doelgroep, herkomst, status en eigenaar.</t>
  </si>
  <si>
    <t xml:space="preserve">Contactpersonen</t>
  </si>
  <si>
    <t xml:space="preserve">Personen per lead.</t>
  </si>
  <si>
    <t xml:space="preserve">Overeenkomsten</t>
  </si>
  <si>
    <t xml:space="preserve">Contracten met status, tekendatum en einddatum.</t>
  </si>
  <si>
    <t xml:space="preserve">Bronnen</t>
  </si>
  <si>
    <t xml:space="preserve">Alles wat een lead heeft aangeleverd, met NDA-markering en verwerkingsstatus.</t>
  </si>
  <si>
    <t xml:space="preserve">Voortgang</t>
  </si>
  <si>
    <t xml:space="preserve">Een regel per lead per stap; hier zet u de status van elke stap.</t>
  </si>
  <si>
    <t xml:space="preserve">Ontwikkelstappen</t>
  </si>
  <si>
    <t xml:space="preserve">De standaardstappen per doelgroep. Wijzigt u zelden.</t>
  </si>
  <si>
    <t xml:space="preserve">Aannames</t>
  </si>
  <si>
    <t xml:space="preserve">Staffel, gateverdeling en kans op FID. Bepaalt de feekolommen op Leads.</t>
  </si>
  <si>
    <t xml:space="preserve">Keuzelijsten</t>
  </si>
  <si>
    <t xml:space="preserve">Voedt alle keuzemenu's.</t>
  </si>
  <si>
    <t xml:space="preserve">Rekenbladen</t>
  </si>
  <si>
    <t xml:space="preserve">Deze vullen zichzelf. Niets invoeren.</t>
  </si>
  <si>
    <t xml:space="preserve">Overzicht</t>
  </si>
  <si>
    <t xml:space="preserve">Per lead: voortgang, volgende stap, getekende en openstaande overeenkomsten, ontvangen en onverwerkte bronnen.</t>
  </si>
  <si>
    <t xml:space="preserve">Matrix_Vastgoed</t>
  </si>
  <si>
    <t xml:space="preserve">Leads in de rijen, de twintig vastgoedstappen in de kolommen.</t>
  </si>
  <si>
    <t xml:space="preserve">Matrix_Energiehub</t>
  </si>
  <si>
    <t xml:space="preserve">Leads in de rijen, de negentien hubstappen in de kolommen.</t>
  </si>
  <si>
    <t xml:space="preserve">Zo start u een nieuwe lead</t>
  </si>
  <si>
    <t xml:space="preserve">1</t>
  </si>
  <si>
    <t xml:space="preserve">Nieuwe regel op Leads, LeadID oplopend doornummeren (LEAD-003, LEAD-004).</t>
  </si>
  <si>
    <t xml:space="preserve">2</t>
  </si>
  <si>
    <t xml:space="preserve">Op Voortgang alle stappen van de betreffende doelgroep toevoegen: per stap een regel met LeadID en StapID. Kopieer een bestaand blok en pas het LeadID aan.</t>
  </si>
  <si>
    <t xml:space="preserve">3</t>
  </si>
  <si>
    <t xml:space="preserve">Status per stap bijwerken. De matrix en het overzicht volgen automatisch.</t>
  </si>
  <si>
    <t xml:space="preserve">Spelregels</t>
  </si>
  <si>
    <t xml:space="preserve">ID's zijn verplicht en uniek: LEAD-001, CON-001, OVK-001, BRN-001, VTG-001.</t>
  </si>
  <si>
    <t xml:space="preserve">StapID heeft altijd het voorvoegsel van de doelgroep: VO-01 tot VO-20 voor vastgoedontwikkelaars, EH-01 tot EH-19 voor energiehubs.</t>
  </si>
  <si>
    <t xml:space="preserve">Datums als echte datum invoeren (jjjj-mm-dd), niet als tekst.</t>
  </si>
  <si>
    <t xml:space="preserve">4</t>
  </si>
  <si>
    <t xml:space="preserve">Slaagkans als percentage tussen 0 en 1.</t>
  </si>
  <si>
    <t xml:space="preserve">5</t>
  </si>
  <si>
    <t xml:space="preserve">Kolomnamen niet wijzigen. De rekenbladen en de webversie koppelen op kolomnaam.</t>
  </si>
  <si>
    <t xml:space="preserve">6</t>
  </si>
  <si>
    <t xml:space="preserve">De cursief grijze eerste regels zijn voorbeelden. Verwijder ze bij ingebruikname.</t>
  </si>
  <si>
    <t xml:space="preserve">Samen werken</t>
  </si>
  <si>
    <t xml:space="preserve">Zet dit bestand in Teams of SharePoint en werk erin via Excel voor het web; dan kunnen collega's tegelijk invoeren. Voor dagelijks gebruik en snel bijwerken is de webversie (Smarteck_Leadtracker.html) handiger; die exporteert terug naar Excel.</t>
  </si>
  <si>
    <t xml:space="preserve">Voedt alle keuzemenu's. Waarden onderaan een kolom bijplaatsen mag; bestaande waarden hernoemen niet, dat breekt de bestaande invoer.</t>
  </si>
  <si>
    <t xml:space="preserve">L_Doelgroep</t>
  </si>
  <si>
    <t xml:space="preserve">L_Herkomst</t>
  </si>
  <si>
    <t xml:space="preserve">L_Leadstatus</t>
  </si>
  <si>
    <t xml:space="preserve">L_Fase</t>
  </si>
  <si>
    <t xml:space="preserve">L_Gate</t>
  </si>
  <si>
    <t xml:space="preserve">L_Workstream</t>
  </si>
  <si>
    <t xml:space="preserve">L_Stapstatus</t>
  </si>
  <si>
    <t xml:space="preserve">L_Contracttype</t>
  </si>
  <si>
    <t xml:space="preserve">L_Contractstatus</t>
  </si>
  <si>
    <t xml:space="preserve">L_Brontype</t>
  </si>
  <si>
    <t xml:space="preserve">L_Bronstatus</t>
  </si>
  <si>
    <t xml:space="preserve">L_Bruikbaarheid</t>
  </si>
  <si>
    <t xml:space="preserve">L_Formaat</t>
  </si>
  <si>
    <t xml:space="preserve">L_JaNee</t>
  </si>
  <si>
    <t xml:space="preserve">L_Rol</t>
  </si>
  <si>
    <t xml:space="preserve">L_Prioriteit</t>
  </si>
  <si>
    <t xml:space="preserve">L_Medewerker</t>
  </si>
  <si>
    <t xml:space="preserve">Vastgoedontwikkelaar</t>
  </si>
  <si>
    <t xml:space="preserve">Eigen netwerk</t>
  </si>
  <si>
    <t xml:space="preserve">Nieuw</t>
  </si>
  <si>
    <t xml:space="preserve">Origination</t>
  </si>
  <si>
    <t xml:space="preserve">M1</t>
  </si>
  <si>
    <t xml:space="preserve">Commercieel</t>
  </si>
  <si>
    <t xml:space="preserve">Niet gestart</t>
  </si>
  <si>
    <t xml:space="preserve">NDA</t>
  </si>
  <si>
    <t xml:space="preserve">Concept</t>
  </si>
  <si>
    <t xml:space="preserve">Energievisie</t>
  </si>
  <si>
    <t xml:space="preserve">Opgevraagd</t>
  </si>
  <si>
    <t xml:space="preserve">Direct bruikbaar</t>
  </si>
  <si>
    <t xml:space="preserve">PDF</t>
  </si>
  <si>
    <t xml:space="preserve">Ja</t>
  </si>
  <si>
    <t xml:space="preserve">Beslisser</t>
  </si>
  <si>
    <t xml:space="preserve">Hoog</t>
  </si>
  <si>
    <t xml:space="preserve">Yusuf</t>
  </si>
  <si>
    <t xml:space="preserve">Energiehub</t>
  </si>
  <si>
    <t xml:space="preserve">Netbeheerder</t>
  </si>
  <si>
    <t xml:space="preserve">In kwalificatie</t>
  </si>
  <si>
    <t xml:space="preserve">Feasibility</t>
  </si>
  <si>
    <t xml:space="preserve">M2</t>
  </si>
  <si>
    <t xml:space="preserve">Techniek</t>
  </si>
  <si>
    <t xml:space="preserve">Loopt</t>
  </si>
  <si>
    <t xml:space="preserve">LOI of intentieverklaring</t>
  </si>
  <si>
    <t xml:space="preserve">Interne review</t>
  </si>
  <si>
    <t xml:space="preserve">Stedenbouwkundig plan</t>
  </si>
  <si>
    <t xml:space="preserve">Ontvangen</t>
  </si>
  <si>
    <t xml:space="preserve">Bewerking nodig</t>
  </si>
  <si>
    <t xml:space="preserve">Excel of CSV</t>
  </si>
  <si>
    <t xml:space="preserve">Nee</t>
  </si>
  <si>
    <t xml:space="preserve">Budgethouder</t>
  </si>
  <si>
    <t xml:space="preserve">Midden</t>
  </si>
  <si>
    <t xml:space="preserve">Jaap van Eck</t>
  </si>
  <si>
    <t xml:space="preserve">Kennisplatform Energiehubs</t>
  </si>
  <si>
    <t xml:space="preserve">Gekwalificeerd</t>
  </si>
  <si>
    <t xml:space="preserve">Development</t>
  </si>
  <si>
    <t xml:space="preserve">M3</t>
  </si>
  <si>
    <t xml:space="preserve">Net en congestie</t>
  </si>
  <si>
    <t xml:space="preserve">Gereed</t>
  </si>
  <si>
    <t xml:space="preserve">Exclusiviteitsovereenkomst</t>
  </si>
  <si>
    <t xml:space="preserve">Bij wederpartij</t>
  </si>
  <si>
    <t xml:space="preserve">Programma van eisen</t>
  </si>
  <si>
    <t xml:space="preserve">In analyse</t>
  </si>
  <si>
    <t xml:space="preserve">Beperkt bruikbaar</t>
  </si>
  <si>
    <t xml:space="preserve">Word</t>
  </si>
  <si>
    <t xml:space="preserve">Beinvloeder</t>
  </si>
  <si>
    <t xml:space="preserve">Laag</t>
  </si>
  <si>
    <t xml:space="preserve">Hans Schouten</t>
  </si>
  <si>
    <t xml:space="preserve">Provincie of ROM</t>
  </si>
  <si>
    <t xml:space="preserve">Propositie uitgebracht</t>
  </si>
  <si>
    <t xml:space="preserve">Ready-to-Build</t>
  </si>
  <si>
    <t xml:space="preserve">M4</t>
  </si>
  <si>
    <t xml:space="preserve">Juridisch</t>
  </si>
  <si>
    <t xml:space="preserve">Geblokkeerd</t>
  </si>
  <si>
    <t xml:space="preserve">Opdrachtbevestiging</t>
  </si>
  <si>
    <t xml:space="preserve">In onderhandeling</t>
  </si>
  <si>
    <t xml:space="preserve">Verbruiksdata of EAN-lijst</t>
  </si>
  <si>
    <t xml:space="preserve">Verwerkt</t>
  </si>
  <si>
    <t xml:space="preserve">Niet bruikbaar</t>
  </si>
  <si>
    <t xml:space="preserve">DWG of DXF</t>
  </si>
  <si>
    <t xml:space="preserve">Gatekeeper</t>
  </si>
  <si>
    <t xml:space="preserve">Gertjan de Joode</t>
  </si>
  <si>
    <t xml:space="preserve">Gemeente</t>
  </si>
  <si>
    <t xml:space="preserve">Realisatie</t>
  </si>
  <si>
    <t xml:space="preserve">Financieel</t>
  </si>
  <si>
    <t xml:space="preserve">Niet van toepassing</t>
  </si>
  <si>
    <t xml:space="preserve">Raamovereenkomst</t>
  </si>
  <si>
    <t xml:space="preserve">Getekend</t>
  </si>
  <si>
    <t xml:space="preserve">Aansluitgegevens en contractvermogens</t>
  </si>
  <si>
    <t xml:space="preserve">Onvolledig</t>
  </si>
  <si>
    <t xml:space="preserve">Nog niet beoordeeld</t>
  </si>
  <si>
    <t xml:space="preserve">GIS of shapefile</t>
  </si>
  <si>
    <t xml:space="preserve">Technisch inhoudelijk</t>
  </si>
  <si>
    <t xml:space="preserve">Lucas van Eck</t>
  </si>
  <si>
    <t xml:space="preserve">Congres of netwerkevent</t>
  </si>
  <si>
    <t xml:space="preserve">Opdracht</t>
  </si>
  <si>
    <t xml:space="preserve">On hold</t>
  </si>
  <si>
    <t xml:space="preserve">Vergunningen</t>
  </si>
  <si>
    <t xml:space="preserve">MoU</t>
  </si>
  <si>
    <t xml:space="preserve">Verlopen</t>
  </si>
  <si>
    <t xml:space="preserve">Netcapaciteitsinformatie</t>
  </si>
  <si>
    <t xml:space="preserve">Niet ontvangen</t>
  </si>
  <si>
    <t xml:space="preserve">Afbeelding</t>
  </si>
  <si>
    <t xml:space="preserve">Kartrekker hub</t>
  </si>
  <si>
    <t xml:space="preserve">Arnoud</t>
  </si>
  <si>
    <t xml:space="preserve">LinkedIn</t>
  </si>
  <si>
    <t xml:space="preserve">Gestopt</t>
  </si>
  <si>
    <t xml:space="preserve">Governance</t>
  </si>
  <si>
    <t xml:space="preserve">Samenwerkingsovereenkomst</t>
  </si>
  <si>
    <t xml:space="preserve">Beeindigd</t>
  </si>
  <si>
    <t xml:space="preserve">Congestiebrief netbeheerder</t>
  </si>
  <si>
    <t xml:space="preserve">Mondeling of presentatie</t>
  </si>
  <si>
    <t xml:space="preserve">Adviseur</t>
  </si>
  <si>
    <t xml:space="preserve">Extern</t>
  </si>
  <si>
    <t xml:space="preserve">Inbound via website</t>
  </si>
  <si>
    <t xml:space="preserve">Afgewezen</t>
  </si>
  <si>
    <t xml:space="preserve">Deelnemersovereenkomst hub</t>
  </si>
  <si>
    <t xml:space="preserve">Ingetrokken</t>
  </si>
  <si>
    <t xml:space="preserve">Warmtevraagprofiel</t>
  </si>
  <si>
    <t xml:space="preserve">Overig</t>
  </si>
  <si>
    <t xml:space="preserve">Doorverwijzing partner</t>
  </si>
  <si>
    <t xml:space="preserve">Verloren</t>
  </si>
  <si>
    <t xml:space="preserve">Anterieure overeenkomst</t>
  </si>
  <si>
    <t xml:space="preserve">Meetdata of kwartierwaarden</t>
  </si>
  <si>
    <t xml:space="preserve">Aanbesteding</t>
  </si>
  <si>
    <t xml:space="preserve">Grondovereenkomst</t>
  </si>
  <si>
    <t xml:space="preserve">Kadastrale gegevens</t>
  </si>
  <si>
    <t xml:space="preserve">Via Jaap van Eck</t>
  </si>
  <si>
    <t xml:space="preserve">ATO netbeheerder</t>
  </si>
  <si>
    <t xml:space="preserve">Tekeningen of GIS-bestanden</t>
  </si>
  <si>
    <t xml:space="preserve">Via Hans Schouten</t>
  </si>
  <si>
    <t xml:space="preserve">GTO of groeps-CSC</t>
  </si>
  <si>
    <t xml:space="preserve">Businesscase van de klant</t>
  </si>
  <si>
    <t xml:space="preserve">Via Phlip Boswinkel</t>
  </si>
  <si>
    <t xml:space="preserve">Warmteleveringsovereenkomst</t>
  </si>
  <si>
    <t xml:space="preserve">Vergunningsdossier</t>
  </si>
  <si>
    <t xml:space="preserve">PPA</t>
  </si>
  <si>
    <t xml:space="preserve">Deelnemerslijst hub</t>
  </si>
  <si>
    <t xml:space="preserve">SLA of uptimeafspraak</t>
  </si>
  <si>
    <t xml:space="preserve">Rapport derde partij</t>
  </si>
  <si>
    <t xml:space="preserve">EPC-contract</t>
  </si>
  <si>
    <t xml:space="preserve">Assetmanagement-overeenkomst</t>
  </si>
  <si>
    <t xml:space="preserve">Verwerkersovereenkomst</t>
  </si>
  <si>
    <t xml:space="preserve">Een regel per lead. LeadID is de sleutel waar alle andere tabbladen naar verwijzen. Fee, slaagkans en gewogen fee rekenen zichzelf uit vanuit het tabblad Aannames; overschrijf ze alleen bij een zuivere Engine 1-opdracht.</t>
  </si>
  <si>
    <t xml:space="preserve">LeadID</t>
  </si>
  <si>
    <t xml:space="preserve">Doelgroep</t>
  </si>
  <si>
    <t xml:space="preserve">Organisatie</t>
  </si>
  <si>
    <t xml:space="preserve">Projectnaam</t>
  </si>
  <si>
    <t xml:space="preserve">Plaats</t>
  </si>
  <si>
    <t xml:space="preserve">Provincie</t>
  </si>
  <si>
    <t xml:space="preserve">Herkomst van de lead</t>
  </si>
  <si>
    <t xml:space="preserve">Aangebracht door</t>
  </si>
  <si>
    <t xml:space="preserve">Datum eerste contact</t>
  </si>
  <si>
    <t xml:space="preserve">Leadstatus</t>
  </si>
  <si>
    <t xml:space="preserve">Ontwikkelfase</t>
  </si>
  <si>
    <t xml:space="preserve">Huidige gate</t>
  </si>
  <si>
    <t xml:space="preserve">Omvang (woningen of MW)</t>
  </si>
  <si>
    <t xml:space="preserve">Verwachte CAPEX (EUR)</t>
  </si>
  <si>
    <t xml:space="preserve">Verwachte Smarteck-fee (EUR)</t>
  </si>
  <si>
    <t xml:space="preserve">Slaagkans</t>
  </si>
  <si>
    <t xml:space="preserve">Gewogen fee (EUR)</t>
  </si>
  <si>
    <t xml:space="preserve">Eigenaar</t>
  </si>
  <si>
    <t xml:space="preserve">Prioriteit</t>
  </si>
  <si>
    <t xml:space="preserve">Volgende actie</t>
  </si>
  <si>
    <t xml:space="preserve">Deadline volgende actie</t>
  </si>
  <si>
    <t xml:space="preserve">Opmerkingen</t>
  </si>
  <si>
    <t xml:space="preserve">Structureel vermeden piek (kW)</t>
  </si>
  <si>
    <t xml:space="preserve">LEAD-001</t>
  </si>
  <si>
    <t xml:space="preserve">Ventura City</t>
  </si>
  <si>
    <t xml:space="preserve">Ventura City energiesysteem</t>
  </si>
  <si>
    <t xml:space="preserve">2026-04-02</t>
  </si>
  <si>
    <t xml:space="preserve">1200 woningen</t>
  </si>
  <si>
    <t xml:space="preserve">Positionpaper afstemmen met Bas Maingay</t>
  </si>
  <si>
    <t xml:space="preserve">2026-09-26</t>
  </si>
  <si>
    <t xml:space="preserve">VOORBEELDRIJ - verwijderen bij ingebruikname. DWA blijft technisch adviseur.</t>
  </si>
  <si>
    <t xml:space="preserve">LEAD-002</t>
  </si>
  <si>
    <t xml:space="preserve">Bedrijventerrein Boekelermeer</t>
  </si>
  <si>
    <t xml:space="preserve">Hubuitbreiding schakelstation</t>
  </si>
  <si>
    <t xml:space="preserve">Alkmaar</t>
  </si>
  <si>
    <t xml:space="preserve">Noord-Holland</t>
  </si>
  <si>
    <t xml:space="preserve">2026-08-14</t>
  </si>
  <si>
    <t xml:space="preserve">8 MW</t>
  </si>
  <si>
    <t xml:space="preserve">Werkbezoek aanvragen</t>
  </si>
  <si>
    <t xml:space="preserve">2026-10-03</t>
  </si>
  <si>
    <t xml:space="preserve">Volwassen referentiecase; privaat net plus groeps-CSC.</t>
  </si>
  <si>
    <t xml:space="preserve">Aannames Engine 2</t>
  </si>
  <si>
    <t xml:space="preserve">Deze cellen bepalen de kolommen verwachte fee, slaagkans en gewogen fee op het tabblad Leads. Gelijk aan het blad Aannames in Smarteck_Engine2_Feemodel.xlsx.</t>
  </si>
  <si>
    <t xml:space="preserve">Staffel ontwikkelfee (marginale schijven)</t>
  </si>
  <si>
    <t xml:space="preserve">Blauwe cijfers op geel zijn invoer. Wijzig hier en het tabblad Leads volgt.</t>
  </si>
  <si>
    <t xml:space="preserve">Schijf 1 tot en met (EUR)</t>
  </si>
  <si>
    <t xml:space="preserve">Schijf 2 tot en met (EUR)</t>
  </si>
  <si>
    <t xml:space="preserve">Schijf 3 tot en met (EUR)</t>
  </si>
  <si>
    <t xml:space="preserve">Tarief boven schijf 3</t>
  </si>
  <si>
    <t xml:space="preserve">Ondergrens ontwikkelfee M2 t/m M4 (EUR)</t>
  </si>
  <si>
    <t xml:space="preserve">Initiatiefee M1 (vast, EUR)</t>
  </si>
  <si>
    <t xml:space="preserve">Verdeling over de gates</t>
  </si>
  <si>
    <t xml:space="preserve">Aandeel M2</t>
  </si>
  <si>
    <t xml:space="preserve">Aandeel M3</t>
  </si>
  <si>
    <t xml:space="preserve">Aandeel M4</t>
  </si>
  <si>
    <t xml:space="preserve">Kans op FID per bereikte gate</t>
  </si>
  <si>
    <t xml:space="preserve">M1 bereikt</t>
  </si>
  <si>
    <t xml:space="preserve">M2 bereikt</t>
  </si>
  <si>
    <t xml:space="preserve">M3 bereikt</t>
  </si>
  <si>
    <t xml:space="preserve">M4 bereikt</t>
  </si>
  <si>
    <t xml:space="preserve">Personen per lead. Handig als filter voor wie waar aan tafel zit.</t>
  </si>
  <si>
    <t xml:space="preserve">ContactID</t>
  </si>
  <si>
    <t xml:space="preserve">Naam</t>
  </si>
  <si>
    <t xml:space="preserve">Functie</t>
  </si>
  <si>
    <t xml:space="preserve">Rol in besluitvorming</t>
  </si>
  <si>
    <t xml:space="preserve">E-mail</t>
  </si>
  <si>
    <t xml:space="preserve">Telefoon</t>
  </si>
  <si>
    <t xml:space="preserve">Relatie-eigenaar</t>
  </si>
  <si>
    <t xml:space="preserve">Laatste contact</t>
  </si>
  <si>
    <t xml:space="preserve">CON-001</t>
  </si>
  <si>
    <t xml:space="preserve">Bas Maingay</t>
  </si>
  <si>
    <t xml:space="preserve">2026-09-04</t>
  </si>
  <si>
    <t xml:space="preserve">VOORBEELDRIJ</t>
  </si>
  <si>
    <t xml:space="preserve">CON-002</t>
  </si>
  <si>
    <t xml:space="preserve">Charlotte Rietdijk</t>
  </si>
  <si>
    <t xml:space="preserve">Alle documenten met een handtekening of een handtekening in het vooruitzicht, inclusief status en einddatum.</t>
  </si>
  <si>
    <t xml:space="preserve">OvereenkomstID</t>
  </si>
  <si>
    <t xml:space="preserve">Type</t>
  </si>
  <si>
    <t xml:space="preserve">Titel</t>
  </si>
  <si>
    <t xml:space="preserve">Status</t>
  </si>
  <si>
    <t xml:space="preserve">Datum verzonden</t>
  </si>
  <si>
    <t xml:space="preserve">Datum getekend</t>
  </si>
  <si>
    <t xml:space="preserve">Ingangsdatum</t>
  </si>
  <si>
    <t xml:space="preserve">Einddatum</t>
  </si>
  <si>
    <t xml:space="preserve">Looptijd (mnd)</t>
  </si>
  <si>
    <t xml:space="preserve">Contractwaarde (EUR)</t>
  </si>
  <si>
    <t xml:space="preserve">Ondertekenaar Smarteck</t>
  </si>
  <si>
    <t xml:space="preserve">Ondertekenaar wederpartij</t>
  </si>
  <si>
    <t xml:space="preserve">Documentlocatie</t>
  </si>
  <si>
    <t xml:space="preserve">Actie vereist</t>
  </si>
  <si>
    <t xml:space="preserve">OVK-001</t>
  </si>
  <si>
    <t xml:space="preserve">NDA Ventura City</t>
  </si>
  <si>
    <t xml:space="preserve">2026-04-08</t>
  </si>
  <si>
    <t xml:space="preserve">2029-04-08</t>
  </si>
  <si>
    <t xml:space="preserve">OVK-002</t>
  </si>
  <si>
    <t xml:space="preserve">MoU v0.6 Ventura City</t>
  </si>
  <si>
    <t xml:space="preserve">2026-08-28</t>
  </si>
  <si>
    <t xml:space="preserve">Artikelverwijzingen afgestemd met positionpaper.</t>
  </si>
  <si>
    <t xml:space="preserve">Register van alles wat een lead met ons heeft gedeeld. Dit is tegelijk het bewijs van wat er onder NDA valt.</t>
  </si>
  <si>
    <t xml:space="preserve">BronID</t>
  </si>
  <si>
    <t xml:space="preserve">Brontype</t>
  </si>
  <si>
    <t xml:space="preserve">Titel of bestandsnaam</t>
  </si>
  <si>
    <t xml:space="preserve">Aangeleverd door</t>
  </si>
  <si>
    <t xml:space="preserve">Datum ontvangen</t>
  </si>
  <si>
    <t xml:space="preserve">Formaat</t>
  </si>
  <si>
    <t xml:space="preserve">Bruikbaarheid</t>
  </si>
  <si>
    <t xml:space="preserve">Vertrouwelijk</t>
  </si>
  <si>
    <t xml:space="preserve">Onder NDA</t>
  </si>
  <si>
    <t xml:space="preserve">Bestandslocatie</t>
  </si>
  <si>
    <t xml:space="preserve">Gebruikt voor stap</t>
  </si>
  <si>
    <t xml:space="preserve">Beoordeeld door</t>
  </si>
  <si>
    <t xml:space="preserve">BRN-001</t>
  </si>
  <si>
    <t xml:space="preserve">Energievisie Ventura City</t>
  </si>
  <si>
    <t xml:space="preserve">2026-04-15</t>
  </si>
  <si>
    <t xml:space="preserve">VO-03</t>
  </si>
  <si>
    <t xml:space="preserve">VOORBEELDRIJ - piekreductiecijfers in merkmateriaal blijven placeholder tot dit is verwerkt.</t>
  </si>
  <si>
    <t xml:space="preserve">BRN-002</t>
  </si>
  <si>
    <t xml:space="preserve">EAN-lijst deelnemers Boekelermeer</t>
  </si>
  <si>
    <t xml:space="preserve">EH-04</t>
  </si>
  <si>
    <t xml:space="preserve">De stappenbibliotheek: twee sporen, een per doelgroep. Dit is de standaard die u per lead afvinkt. Stappen bijplaatsen mag; nummering aaneengesloten houden.</t>
  </si>
  <si>
    <t xml:space="preserve">StapID</t>
  </si>
  <si>
    <t xml:space="preserve">Nr</t>
  </si>
  <si>
    <t xml:space="preserve">Stap</t>
  </si>
  <si>
    <t xml:space="preserve">Workstream</t>
  </si>
  <si>
    <t xml:space="preserve">Gate</t>
  </si>
  <si>
    <t xml:space="preserve">Verplicht</t>
  </si>
  <si>
    <t xml:space="preserve">Doorlooptijd (weken)</t>
  </si>
  <si>
    <t xml:space="preserve">Toelichting</t>
  </si>
  <si>
    <t xml:space="preserve">VO-01</t>
  </si>
  <si>
    <t xml:space="preserve">Lead gekwalificeerd</t>
  </si>
  <si>
    <t xml:space="preserve">Gebiedsontwikkeling, fase en besluitvormingsmoment vastgesteld</t>
  </si>
  <si>
    <t xml:space="preserve">VO-02</t>
  </si>
  <si>
    <t xml:space="preserve">NDA getekend</t>
  </si>
  <si>
    <t xml:space="preserve">Voorwaarde voor het opvragen van bronnen</t>
  </si>
  <si>
    <t xml:space="preserve">Bronnen opgevraagd en ontvangen</t>
  </si>
  <si>
    <t xml:space="preserve">Energievisie, stedenbouwkundig plan, programma van eisen</t>
  </si>
  <si>
    <t xml:space="preserve">VO-04</t>
  </si>
  <si>
    <t xml:space="preserve">Quickscan netcapaciteit en congestiestatus</t>
  </si>
  <si>
    <t xml:space="preserve">Capaciteitskaart netbeheerder, wachtrijpositie, transportbeperking</t>
  </si>
  <si>
    <t xml:space="preserve">VO-05</t>
  </si>
  <si>
    <t xml:space="preserve">Vraagprofiel elektriciteit en warmte</t>
  </si>
  <si>
    <t xml:space="preserve">Twee stromen in een profiel; basis voor het hele ontwerp</t>
  </si>
  <si>
    <t xml:space="preserve">VO-06</t>
  </si>
  <si>
    <t xml:space="preserve">Piek- en gelijktijdigheidsanalyse</t>
  </si>
  <si>
    <t xml:space="preserve">Onderbouwt de piekreductie die wij aan de netbeheerder beloven</t>
  </si>
  <si>
    <t xml:space="preserve">VO-07</t>
  </si>
  <si>
    <t xml:space="preserve">Eerste gesprek netbeheerder</t>
  </si>
  <si>
    <t xml:space="preserve">Wegnemen en spiegelen als openingsvraag</t>
  </si>
  <si>
    <t xml:space="preserve">VO-08</t>
  </si>
  <si>
    <t xml:space="preserve">Routekeuze-scan vier routes</t>
  </si>
  <si>
    <t xml:space="preserve">Betaald beslisinstrument; eigendom, balansimpact, regieverlies</t>
  </si>
  <si>
    <t xml:space="preserve">VO-09</t>
  </si>
  <si>
    <t xml:space="preserve">Engine 1 of gedelegeerde ontwikkeling</t>
  </si>
  <si>
    <t xml:space="preserve">VO-10</t>
  </si>
  <si>
    <t xml:space="preserve">Opdrachtbevestiging Engine 1</t>
  </si>
  <si>
    <t xml:space="preserve">Eerste facturabele opdracht</t>
  </si>
  <si>
    <t xml:space="preserve">VO-11</t>
  </si>
  <si>
    <t xml:space="preserve">Systeemconcept twee stromen</t>
  </si>
  <si>
    <t xml:space="preserve">Warmte is het middel, netbalans het doel</t>
  </si>
  <si>
    <t xml:space="preserve">VO-12</t>
  </si>
  <si>
    <t xml:space="preserve">Businesscase eerste orde</t>
  </si>
  <si>
    <t xml:space="preserve">Bankable maken; onrendabele top expliciet</t>
  </si>
  <si>
    <t xml:space="preserve">VO-13</t>
  </si>
  <si>
    <t xml:space="preserve">Contractstructuur GTO of groeps-CSC</t>
  </si>
  <si>
    <t xml:space="preserve">Structuurkeuze voor aansluiting en levering</t>
  </si>
  <si>
    <t xml:space="preserve">VO-14</t>
  </si>
  <si>
    <t xml:space="preserve">Samenwerkings- of intentieovereenkomst</t>
  </si>
  <si>
    <t xml:space="preserve">MoU met artikelverwijzingen; mandaat vastgelegd</t>
  </si>
  <si>
    <t xml:space="preserve">VO-15</t>
  </si>
  <si>
    <t xml:space="preserve">Definitief systeemontwerp</t>
  </si>
  <si>
    <t xml:space="preserve">Inclusief redundantie en regelstrategie</t>
  </si>
  <si>
    <t xml:space="preserve">VO-16</t>
  </si>
  <si>
    <t xml:space="preserve">Vergunningen en ruimtelijke inpassing</t>
  </si>
  <si>
    <t xml:space="preserve">Wcw-afbakening tijdig toetsen</t>
  </si>
  <si>
    <t xml:space="preserve">VO-17</t>
  </si>
  <si>
    <t xml:space="preserve">Technologie-agnostische uitvraag</t>
  </si>
  <si>
    <t xml:space="preserve">Onze sterkste claim: geen EPC-belang</t>
  </si>
  <si>
    <t xml:space="preserve">VO-18</t>
  </si>
  <si>
    <t xml:space="preserve">EPC-selectie en netcontractering</t>
  </si>
  <si>
    <t xml:space="preserve">ATO of GTO definitief</t>
  </si>
  <si>
    <t xml:space="preserve">VO-19</t>
  </si>
  <si>
    <t xml:space="preserve">Investeringsbesluit en Ready-to-Build</t>
  </si>
  <si>
    <t xml:space="preserve">FID door de eigenaar van de asset</t>
  </si>
  <si>
    <t xml:space="preserve">VO-20</t>
  </si>
  <si>
    <t xml:space="preserve">Meerjarige fee na oplevering</t>
  </si>
  <si>
    <t xml:space="preserve">EH-01</t>
  </si>
  <si>
    <t xml:space="preserve">Hub-initiatief gekwalificeerd</t>
  </si>
  <si>
    <t xml:space="preserve">Initiatievenradar, provinciale agenda of eigen netwerk</t>
  </si>
  <si>
    <t xml:space="preserve">EH-02</t>
  </si>
  <si>
    <t xml:space="preserve">Kartrekker en deelnemers in beeld</t>
  </si>
  <si>
    <t xml:space="preserve">Zonder kartrekker geen hub</t>
  </si>
  <si>
    <t xml:space="preserve">EH-03</t>
  </si>
  <si>
    <t xml:space="preserve">NDA of deelnemersverklaring</t>
  </si>
  <si>
    <t xml:space="preserve">Per deelnemer of collectief via de vereniging</t>
  </si>
  <si>
    <t xml:space="preserve">Aansluit- en verbruiksdata ontvangen</t>
  </si>
  <si>
    <t xml:space="preserve">EAN-lijst, contractvermogens, kwartierwaarden</t>
  </si>
  <si>
    <t xml:space="preserve">EH-05</t>
  </si>
  <si>
    <t xml:space="preserve">Congestiestatus en wachtrijpositie</t>
  </si>
  <si>
    <t xml:space="preserve">Per aansluiting; bepaalt de urgentie bij de deelnemers</t>
  </si>
  <si>
    <t xml:space="preserve">EH-06</t>
  </si>
  <si>
    <t xml:space="preserve">Collectief vraag- en aanbodprofiel</t>
  </si>
  <si>
    <t xml:space="preserve">Geaggregeerd profiel inclusief warmte</t>
  </si>
  <si>
    <t xml:space="preserve">EH-07</t>
  </si>
  <si>
    <t xml:space="preserve">Gelijktijdigheid en flexpotentie</t>
  </si>
  <si>
    <t xml:space="preserve">De kern van de hubwaarde</t>
  </si>
  <si>
    <t xml:space="preserve">EH-08</t>
  </si>
  <si>
    <t xml:space="preserve">Hubconcept en technische configuratie</t>
  </si>
  <si>
    <t xml:space="preserve">Opwek, opslag, conversie, regeling</t>
  </si>
  <si>
    <t xml:space="preserve">EH-09</t>
  </si>
  <si>
    <t xml:space="preserve">Juridische structuur GTO of groeps-CSC</t>
  </si>
  <si>
    <t xml:space="preserve">Inclusief rolverdeling BRP, BSP en CSP</t>
  </si>
  <si>
    <t xml:space="preserve">EH-10</t>
  </si>
  <si>
    <t xml:space="preserve">Verdeelsleutel en governance</t>
  </si>
  <si>
    <t xml:space="preserve">Verdeling van kosten, capaciteit en zeggenschap</t>
  </si>
  <si>
    <t xml:space="preserve">EH-11</t>
  </si>
  <si>
    <t xml:space="preserve">Collectieve businesscase</t>
  </si>
  <si>
    <t xml:space="preserve">Per deelnemer en voor het collectief</t>
  </si>
  <si>
    <t xml:space="preserve">EH-12</t>
  </si>
  <si>
    <t xml:space="preserve">Subsidie- en regelingencheck</t>
  </si>
  <si>
    <t xml:space="preserve">SDE++, Flex-e, provinciale regelingen</t>
  </si>
  <si>
    <t xml:space="preserve">EH-13</t>
  </si>
  <si>
    <t xml:space="preserve">Aan de kartrekker of aan het collectief</t>
  </si>
  <si>
    <t xml:space="preserve">EH-14</t>
  </si>
  <si>
    <t xml:space="preserve">Intentieverklaringen deelnemers</t>
  </si>
  <si>
    <t xml:space="preserve">Kritieke massa vastleggen voor de businesscase</t>
  </si>
  <si>
    <t xml:space="preserve">EH-15</t>
  </si>
  <si>
    <t xml:space="preserve">Samenwerkingsovereenkomst hub</t>
  </si>
  <si>
    <t xml:space="preserve">Van intentie naar verplichting</t>
  </si>
  <si>
    <t xml:space="preserve">EH-16</t>
  </si>
  <si>
    <t xml:space="preserve">Contractering netbeheerder</t>
  </si>
  <si>
    <t xml:space="preserve">GTO of groepstransportovereenkomst</t>
  </si>
  <si>
    <t xml:space="preserve">EH-17</t>
  </si>
  <si>
    <t xml:space="preserve">Ontwerp en technologie-agnostische uitvraag</t>
  </si>
  <si>
    <t xml:space="preserve">Uitvraag namens het collectief</t>
  </si>
  <si>
    <t xml:space="preserve">EH-18</t>
  </si>
  <si>
    <t xml:space="preserve">Realisatiebesluit en FID</t>
  </si>
  <si>
    <t xml:space="preserve">Besluit door de eigenaren van de assets</t>
  </si>
  <si>
    <t xml:space="preserve">EH-19</t>
  </si>
  <si>
    <t xml:space="preserve">Exploitatie- en beheerovereenkomst</t>
  </si>
  <si>
    <t xml:space="preserve">Assetmanagement en O&amp;M</t>
  </si>
  <si>
    <t xml:space="preserve">Een regel per lead per stap. Alleen de kolommen Status, datums en verantwoordelijke invullen; Stapnr, Stap, Workstream, Openstaand nr en Sleutel rekenen zichzelf uit.</t>
  </si>
  <si>
    <t xml:space="preserve">VoortgangID</t>
  </si>
  <si>
    <t xml:space="preserve">Stapnr</t>
  </si>
  <si>
    <t xml:space="preserve">Startdatum</t>
  </si>
  <si>
    <t xml:space="preserve">Gepland gereed</t>
  </si>
  <si>
    <t xml:space="preserve">Werkelijk gereed</t>
  </si>
  <si>
    <t xml:space="preserve">Verantwoordelijke</t>
  </si>
  <si>
    <t xml:space="preserve">Openstaand nr</t>
  </si>
  <si>
    <t xml:space="preserve">Sleutel</t>
  </si>
  <si>
    <t xml:space="preserve">VTG-001</t>
  </si>
  <si>
    <t xml:space="preserve">VTG-002</t>
  </si>
  <si>
    <t xml:space="preserve">VTG-003</t>
  </si>
  <si>
    <t xml:space="preserve">VTG-004</t>
  </si>
  <si>
    <t xml:space="preserve">VTG-005</t>
  </si>
  <si>
    <t xml:space="preserve">VTG-006</t>
  </si>
  <si>
    <t xml:space="preserve">VTG-007</t>
  </si>
  <si>
    <t xml:space="preserve">VTG-008</t>
  </si>
  <si>
    <t xml:space="preserve">VTG-009</t>
  </si>
  <si>
    <t xml:space="preserve">VTG-010</t>
  </si>
  <si>
    <t xml:space="preserve">VTG-011</t>
  </si>
  <si>
    <t xml:space="preserve">VTG-012</t>
  </si>
  <si>
    <t xml:space="preserve">VTG-013</t>
  </si>
  <si>
    <t xml:space="preserve">VTG-014</t>
  </si>
  <si>
    <t xml:space="preserve">VTG-015</t>
  </si>
  <si>
    <t xml:space="preserve">VTG-016</t>
  </si>
  <si>
    <t xml:space="preserve">VTG-017</t>
  </si>
  <si>
    <t xml:space="preserve">VTG-018</t>
  </si>
  <si>
    <t xml:space="preserve">VTG-019</t>
  </si>
  <si>
    <t xml:space="preserve">VTG-020</t>
  </si>
  <si>
    <t xml:space="preserve">VTG-021</t>
  </si>
  <si>
    <t xml:space="preserve">VTG-022</t>
  </si>
  <si>
    <t xml:space="preserve">VTG-023</t>
  </si>
  <si>
    <t xml:space="preserve">VTG-024</t>
  </si>
  <si>
    <t xml:space="preserve">VTG-025</t>
  </si>
  <si>
    <t xml:space="preserve">VTG-026</t>
  </si>
  <si>
    <t xml:space="preserve">VTG-027</t>
  </si>
  <si>
    <t xml:space="preserve">VTG-028</t>
  </si>
  <si>
    <t xml:space="preserve">VTG-029</t>
  </si>
  <si>
    <t xml:space="preserve">VTG-030</t>
  </si>
  <si>
    <t xml:space="preserve">VTG-031</t>
  </si>
  <si>
    <t xml:space="preserve">VTG-032</t>
  </si>
  <si>
    <t xml:space="preserve">VTG-033</t>
  </si>
  <si>
    <t xml:space="preserve">VTG-034</t>
  </si>
  <si>
    <t xml:space="preserve">VTG-035</t>
  </si>
  <si>
    <t xml:space="preserve">VTG-036</t>
  </si>
  <si>
    <t xml:space="preserve">VTG-037</t>
  </si>
  <si>
    <t xml:space="preserve">VTG-038</t>
  </si>
  <si>
    <t xml:space="preserve">VTG-039</t>
  </si>
  <si>
    <t xml:space="preserve">Overzicht per lead</t>
  </si>
  <si>
    <t xml:space="preserve">Rekent zich volledig uit op basis van de tabbladen Leads, Voortgang, Overeenkomsten en Bronnen. Niets invullen op dit blad.</t>
  </si>
  <si>
    <t xml:space="preserve">Stappen totaal</t>
  </si>
  <si>
    <t xml:space="preserve">Volgende stap</t>
  </si>
  <si>
    <t xml:space="preserve">Overeenkomsten getekend</t>
  </si>
  <si>
    <t xml:space="preserve">Overeenkomsten open</t>
  </si>
  <si>
    <t xml:space="preserve">Bronnen ontvangen</t>
  </si>
  <si>
    <t xml:space="preserve">Bronnen nog te verwerken</t>
  </si>
  <si>
    <t xml:space="preserve">Stappenmatrix vastgoedontwikkelaar</t>
  </si>
  <si>
    <t xml:space="preserve">Leads in de rijen, ontwikkelstappen in de kolommen. G = gereed, L = loopt, B = geblokkeerd, - = niet gestart, nvt = niet van toepassing. Vult zich vanuit het tabblad Voortgang. Rijen van de andere doelgroep blijven leeg.</t>
  </si>
  <si>
    <t xml:space="preserve">1. Lead gekwalificeerd</t>
  </si>
  <si>
    <t xml:space="preserve">2. NDA getekend</t>
  </si>
  <si>
    <t xml:space="preserve">3. Bronnen opgevraagd en ontvangen</t>
  </si>
  <si>
    <t xml:space="preserve">4. Quickscan netcapaciteit en congestiestatus</t>
  </si>
  <si>
    <t xml:space="preserve">5. Vraagprofiel elektriciteit en warmte</t>
  </si>
  <si>
    <t xml:space="preserve">6. Piek- en gelijktijdigheidsanalyse</t>
  </si>
  <si>
    <t xml:space="preserve">7. Eerste gesprek netbeheerder</t>
  </si>
  <si>
    <t xml:space="preserve">8. Routekeuze-scan vier routes</t>
  </si>
  <si>
    <t xml:space="preserve">9. Propositie uitgebracht</t>
  </si>
  <si>
    <t xml:space="preserve">10. Opdrachtbevestiging Engine 1</t>
  </si>
  <si>
    <t xml:space="preserve">11. Systeemconcept twee stromen</t>
  </si>
  <si>
    <t xml:space="preserve">12. Businesscase eerste orde</t>
  </si>
  <si>
    <t xml:space="preserve">13. Contractstructuur GTO of groeps-CSC</t>
  </si>
  <si>
    <t xml:space="preserve">14. Samenwerkings- of intentieovereenkomst</t>
  </si>
  <si>
    <t xml:space="preserve">15. Definitief systeemontwerp</t>
  </si>
  <si>
    <t xml:space="preserve">16. Vergunningen en ruimtelijke inpassing</t>
  </si>
  <si>
    <t xml:space="preserve">17. Technologie-agnostische uitvraag</t>
  </si>
  <si>
    <t xml:space="preserve">18. EPC-selectie en netcontractering</t>
  </si>
  <si>
    <t xml:space="preserve">19. Investeringsbesluit en Ready-to-Build</t>
  </si>
  <si>
    <t xml:space="preserve">20. Assetmanagement-overeenkomst</t>
  </si>
  <si>
    <t xml:space="preserve">Stappenmatrix energiehub</t>
  </si>
  <si>
    <t xml:space="preserve">1. Hub-initiatief gekwalificeerd</t>
  </si>
  <si>
    <t xml:space="preserve">2. Kartrekker en deelnemers in beeld</t>
  </si>
  <si>
    <t xml:space="preserve">3. NDA of deelnemersverklaring</t>
  </si>
  <si>
    <t xml:space="preserve">4. Aansluit- en verbruiksdata ontvangen</t>
  </si>
  <si>
    <t xml:space="preserve">5. Congestiestatus en wachtrijpositie</t>
  </si>
  <si>
    <t xml:space="preserve">6. Collectief vraag- en aanbodprofiel</t>
  </si>
  <si>
    <t xml:space="preserve">7. Gelijktijdigheid en flexpotentie</t>
  </si>
  <si>
    <t xml:space="preserve">8. Hubconcept en technische configuratie</t>
  </si>
  <si>
    <t xml:space="preserve">9. Juridische structuur GTO of groeps-CSC</t>
  </si>
  <si>
    <t xml:space="preserve">10. Verdeelsleutel en governance</t>
  </si>
  <si>
    <t xml:space="preserve">11. Collectieve businesscase</t>
  </si>
  <si>
    <t xml:space="preserve">12. Subsidie- en regelingencheck</t>
  </si>
  <si>
    <t xml:space="preserve">13. Propositie uitgebracht</t>
  </si>
  <si>
    <t xml:space="preserve">14. Intentieverklaringen deelnemers</t>
  </si>
  <si>
    <t xml:space="preserve">15. Samenwerkingsovereenkomst hub</t>
  </si>
  <si>
    <t xml:space="preserve">16. Contractering netbeheerder</t>
  </si>
  <si>
    <t xml:space="preserve">17. Ontwerp en technologie-agnostische uitvraag</t>
  </si>
  <si>
    <t xml:space="preserve">18. Realisatiebesluit en FID</t>
  </si>
  <si>
    <t xml:space="preserve">19. Exploitatie- en beheerovereenkomst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</si>
</sst>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0%"/>
    <numFmt numFmtId="168" formatCode="0.0%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12B3B"/>
      <name val="Calibri"/>
      <family val="0"/>
      <charset val="1"/>
    </font>
    <font>
      <b val="true"/>
      <sz val="11"/>
      <color rgb="FFBE612E"/>
      <name val="Calibri"/>
      <family val="0"/>
      <charset val="1"/>
    </font>
    <font>
      <b val="true"/>
      <sz val="10"/>
      <color rgb="FF112B3B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112B3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8A8A8A"/>
      <name val="Calibri"/>
      <family val="0"/>
      <charset val="1"/>
    </font>
    <font>
      <sz val="10"/>
      <color rgb="FF0000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5F3EF"/>
        <bgColor rgb="FFFFFFFF"/>
      </patternFill>
    </fill>
    <fill>
      <patternFill patternType="solid">
        <fgColor rgb="FF112B3B"/>
        <bgColor rgb="FF333333"/>
      </patternFill>
    </fill>
    <fill>
      <patternFill patternType="solid">
        <fgColor rgb="FFFFF2CC"/>
        <bgColor rgb="FFF5F3EF"/>
      </patternFill>
    </fill>
    <fill>
      <patternFill patternType="solid">
        <fgColor rgb="FFBE612E"/>
        <bgColor rgb="FF993300"/>
      </patternFill>
    </fill>
    <fill>
      <patternFill patternType="solid">
        <fgColor rgb="FF1D8F91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CFC7"/>
      </left>
      <right style="thin">
        <color rgb="FFD4CFC7"/>
      </right>
      <top style="thin">
        <color rgb="FFD4CFC7"/>
      </top>
      <bottom style="thin">
        <color rgb="FFD4CF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12B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E612E"/>
          <bgColor rgb="FF000000"/>
        </patternFill>
      </fill>
    </dxf>
    <dxf>
      <fill>
        <patternFill>
          <bgColor rgb="FFD8E8D8"/>
        </patternFill>
      </fill>
    </dxf>
    <dxf>
      <fill>
        <patternFill>
          <bgColor rgb="FFF6DCD2"/>
        </patternFill>
      </fill>
    </dxf>
    <dxf>
      <fill>
        <patternFill>
          <bgColor rgb="FFCFE3CF"/>
        </patternFill>
      </fill>
    </dxf>
    <dxf>
      <fill>
        <patternFill>
          <bgColor rgb="FFF7E2CE"/>
        </patternFill>
      </fill>
    </dxf>
    <dxf>
      <fill>
        <patternFill>
          <bgColor rgb="FFF2C9B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FC7"/>
      <rgbColor rgb="FF8A8A8A"/>
      <rgbColor rgb="FF9999FF"/>
      <rgbColor rgb="FF993366"/>
      <rgbColor rgb="FFFFF2CC"/>
      <rgbColor rgb="FFF5F3EF"/>
      <rgbColor rgb="FF660066"/>
      <rgbColor rgb="FFFF8080"/>
      <rgbColor rgb="FF0066CC"/>
      <rgbColor rgb="FFCFE3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DCD2"/>
      <rgbColor rgb="FFD8E8D8"/>
      <rgbColor rgb="FFF7E2CE"/>
      <rgbColor rgb="FF99CCFF"/>
      <rgbColor rgb="FFFF99CC"/>
      <rgbColor rgb="FFCC99FF"/>
      <rgbColor rgb="FFF2C9BC"/>
      <rgbColor rgb="FF3366FF"/>
      <rgbColor rgb="FF33CCCC"/>
      <rgbColor rgb="FF99CC00"/>
      <rgbColor rgb="FFFFCC00"/>
      <rgbColor rgb="FFFF9900"/>
      <rgbColor rgb="FFBE612E"/>
      <rgbColor rgb="FF666699"/>
      <rgbColor rgb="FF969696"/>
      <rgbColor rgb="FF112B3B"/>
      <rgbColor rgb="FF1D8F9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ronnen" displayName="Bronnen" ref="A4:O504" headerRowCount="1" totalsRowCount="0" totalsRowShown="0">
  <autoFilter ref="A4:O504"/>
  <tableColumns count="15">
    <tableColumn id="1" name="BronID"/>
    <tableColumn id="2" name="LeadID"/>
    <tableColumn id="3" name="Brontype"/>
    <tableColumn id="4" name="Titel of bestandsnaam"/>
    <tableColumn id="5" name="Aangeleverd door"/>
    <tableColumn id="6" name="Datum ontvangen"/>
    <tableColumn id="7" name="Formaat"/>
    <tableColumn id="8" name="Status"/>
    <tableColumn id="9" name="Bruikbaarheid"/>
    <tableColumn id="10" name="Vertrouwelijk"/>
    <tableColumn id="11" name="Onder NDA"/>
    <tableColumn id="12" name="Bestandslocatie"/>
    <tableColumn id="13" name="Gebruikt voor stap"/>
    <tableColumn id="14" name="Beoordeeld door"/>
    <tableColumn id="15" name="Opmerkingen"/>
  </tableColumns>
</table>
</file>

<file path=xl/tables/table2.xml><?xml version="1.0" encoding="utf-8"?>
<table xmlns="http://schemas.openxmlformats.org/spreadsheetml/2006/main" id="2" name="Contactpersonen" displayName="Contactpersonen" ref="A4:K504" headerRowCount="1" totalsRowCount="0" totalsRowShown="0">
  <autoFilter ref="A4:K504"/>
  <tableColumns count="11">
    <tableColumn id="1" name="ContactID"/>
    <tableColumn id="2" name="LeadID"/>
    <tableColumn id="3" name="Naam"/>
    <tableColumn id="4" name="Organisatie"/>
    <tableColumn id="5" name="Functie"/>
    <tableColumn id="6" name="Rol in besluitvorming"/>
    <tableColumn id="7" name="E-mail"/>
    <tableColumn id="8" name="Telefoon"/>
    <tableColumn id="9" name="Relatie-eigenaar"/>
    <tableColumn id="10" name="Laatste contact"/>
    <tableColumn id="11" name="Opmerkingen"/>
  </tableColumns>
</table>
</file>

<file path=xl/tables/table3.xml><?xml version="1.0" encoding="utf-8"?>
<table xmlns="http://schemas.openxmlformats.org/spreadsheetml/2006/main" id="3" name="Leads" displayName="Leads" ref="A4:W504" headerRowCount="1" totalsRowCount="0" totalsRowShown="0">
  <autoFilter ref="A4:W504"/>
  <tableColumns count="23">
    <tableColumn id="1" name="LeadID"/>
    <tableColumn id="2" name="Doelgroep"/>
    <tableColumn id="3" name="Organisatie"/>
    <tableColumn id="4" name="Projectnaam"/>
    <tableColumn id="5" name="Plaats"/>
    <tableColumn id="6" name="Provincie"/>
    <tableColumn id="7" name="Herkomst van de lead"/>
    <tableColumn id="8" name="Aangebracht door"/>
    <tableColumn id="9" name="Datum eerste contact"/>
    <tableColumn id="10" name="Leadstatus"/>
    <tableColumn id="11" name="Ontwikkelfase"/>
    <tableColumn id="12" name="Huidige gate"/>
    <tableColumn id="13" name="Omvang (woningen of MW)"/>
    <tableColumn id="14" name="Verwachte CAPEX (EUR)"/>
    <tableColumn id="15" name="Verwachte Smarteck-fee (EUR)"/>
    <tableColumn id="16" name="Slaagkans"/>
    <tableColumn id="17" name="Gewogen fee (EUR)"/>
    <tableColumn id="18" name="Eigenaar"/>
    <tableColumn id="19" name="Prioriteit"/>
    <tableColumn id="20" name="Volgende actie"/>
    <tableColumn id="21" name="Deadline volgende actie"/>
    <tableColumn id="22" name="Opmerkingen"/>
    <tableColumn id="23" name="Structureel vermeden piek (kW)"/>
  </tableColumns>
</table>
</file>

<file path=xl/tables/table4.xml><?xml version="1.0" encoding="utf-8"?>
<table xmlns="http://schemas.openxmlformats.org/spreadsheetml/2006/main" id="4" name="Ontwikkelstappen" displayName="Ontwikkelstappen" ref="A4:I504" headerRowCount="1" totalsRowCount="0" totalsRowShown="0">
  <autoFilter ref="A4:I504"/>
  <tableColumns count="9">
    <tableColumn id="1" name="StapID"/>
    <tableColumn id="2" name="Doelgroep"/>
    <tableColumn id="3" name="Nr"/>
    <tableColumn id="4" name="Stap"/>
    <tableColumn id="5" name="Workstream"/>
    <tableColumn id="6" name="Gate"/>
    <tableColumn id="7" name="Verplicht"/>
    <tableColumn id="8" name="Doorlooptijd (weken)"/>
    <tableColumn id="9" name="Toelichting"/>
  </tableColumns>
</table>
</file>

<file path=xl/tables/table5.xml><?xml version="1.0" encoding="utf-8"?>
<table xmlns="http://schemas.openxmlformats.org/spreadsheetml/2006/main" id="5" name="Overeenkomsten" displayName="Overeenkomsten" ref="A4:P504" headerRowCount="1" totalsRowCount="0" totalsRowShown="0">
  <autoFilter ref="A4:P504"/>
  <tableColumns count="16">
    <tableColumn id="1" name="OvereenkomstID"/>
    <tableColumn id="2" name="LeadID"/>
    <tableColumn id="3" name="Type"/>
    <tableColumn id="4" name="Titel"/>
    <tableColumn id="5" name="Status"/>
    <tableColumn id="6" name="Datum verzonden"/>
    <tableColumn id="7" name="Datum getekend"/>
    <tableColumn id="8" name="Ingangsdatum"/>
    <tableColumn id="9" name="Einddatum"/>
    <tableColumn id="10" name="Looptijd (mnd)"/>
    <tableColumn id="11" name="Contractwaarde (EUR)"/>
    <tableColumn id="12" name="Ondertekenaar Smarteck"/>
    <tableColumn id="13" name="Ondertekenaar wederpartij"/>
    <tableColumn id="14" name="Documentlocatie"/>
    <tableColumn id="15" name="Actie vereist"/>
    <tableColumn id="16" name="Opmerkingen"/>
  </tableColumns>
</table>
</file>

<file path=xl/tables/table6.xml><?xml version="1.0" encoding="utf-8"?>
<table xmlns="http://schemas.openxmlformats.org/spreadsheetml/2006/main" id="6" name="Voortgang" displayName="Voortgang" ref="A4:N504" headerRowCount="1" totalsRowCount="0" totalsRowShown="0">
  <autoFilter ref="A4:N504"/>
  <tableColumns count="14">
    <tableColumn id="1" name="VoortgangID"/>
    <tableColumn id="2" name="LeadID"/>
    <tableColumn id="3" name="StapID"/>
    <tableColumn id="4" name="Stapnr"/>
    <tableColumn id="5" name="Stap"/>
    <tableColumn id="6" name="Workstream"/>
    <tableColumn id="7" name="Status"/>
    <tableColumn id="8" name="Startdatum"/>
    <tableColumn id="9" name="Gepland gereed"/>
    <tableColumn id="10" name="Werkelijk gereed"/>
    <tableColumn id="11" name="Verantwoordelijke"/>
    <tableColumn id="12" name="Openstaand nr"/>
    <tableColumn id="13" name="Sleutel"/>
    <tableColumn id="14" name="Opmerkinge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8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/>
      <c r="B4" s="4"/>
    </row>
    <row r="5" customFormat="false" ht="15.75" hidden="false" customHeight="true" outlineLevel="0" collapsed="false">
      <c r="A5" s="5" t="s">
        <v>2</v>
      </c>
      <c r="B5" s="4"/>
    </row>
    <row r="6" customFormat="false" ht="31.5" hidden="false" customHeight="true" outlineLevel="0" collapsed="false">
      <c r="A6" s="3"/>
      <c r="B6" s="4" t="s">
        <v>3</v>
      </c>
    </row>
    <row r="7" customFormat="false" ht="15.75" hidden="false" customHeight="true" outlineLevel="0" collapsed="false">
      <c r="A7" s="3"/>
      <c r="B7" s="4"/>
    </row>
    <row r="8" customFormat="false" ht="15.75" hidden="false" customHeight="true" outlineLevel="0" collapsed="false">
      <c r="A8" s="3" t="s">
        <v>4</v>
      </c>
      <c r="B8" s="4" t="s">
        <v>5</v>
      </c>
    </row>
    <row r="9" customFormat="false" ht="15.75" hidden="false" customHeight="true" outlineLevel="0" collapsed="false">
      <c r="A9" s="3" t="s">
        <v>6</v>
      </c>
      <c r="B9" s="4" t="s">
        <v>7</v>
      </c>
    </row>
    <row r="10" customFormat="false" ht="15.75" hidden="false" customHeight="true" outlineLevel="0" collapsed="false">
      <c r="A10" s="3" t="s">
        <v>8</v>
      </c>
      <c r="B10" s="4" t="s">
        <v>9</v>
      </c>
    </row>
    <row r="11" customFormat="false" ht="15.75" hidden="false" customHeight="true" outlineLevel="0" collapsed="false">
      <c r="A11" s="3" t="s">
        <v>10</v>
      </c>
      <c r="B11" s="4" t="s">
        <v>11</v>
      </c>
    </row>
    <row r="12" customFormat="false" ht="15.75" hidden="false" customHeight="true" outlineLevel="0" collapsed="false">
      <c r="A12" s="3" t="s">
        <v>12</v>
      </c>
      <c r="B12" s="4" t="s">
        <v>13</v>
      </c>
    </row>
    <row r="13" customFormat="false" ht="15.75" hidden="false" customHeight="true" outlineLevel="0" collapsed="false">
      <c r="A13" s="3" t="s">
        <v>14</v>
      </c>
      <c r="B13" s="4" t="s">
        <v>15</v>
      </c>
    </row>
    <row r="14" customFormat="false" ht="15.75" hidden="false" customHeight="true" outlineLevel="0" collapsed="false">
      <c r="A14" s="3" t="s">
        <v>16</v>
      </c>
      <c r="B14" s="4" t="s">
        <v>17</v>
      </c>
    </row>
    <row r="15" customFormat="false" ht="15.75" hidden="false" customHeight="true" outlineLevel="0" collapsed="false">
      <c r="A15" s="3" t="s">
        <v>18</v>
      </c>
      <c r="B15" s="4" t="s">
        <v>19</v>
      </c>
    </row>
    <row r="16" customFormat="false" ht="15.75" hidden="false" customHeight="true" outlineLevel="0" collapsed="false">
      <c r="A16" s="3" t="s">
        <v>20</v>
      </c>
      <c r="B16" s="4" t="s">
        <v>21</v>
      </c>
    </row>
    <row r="17" customFormat="false" ht="15.75" hidden="false" customHeight="true" outlineLevel="0" collapsed="false">
      <c r="A17" s="3"/>
      <c r="B17" s="4"/>
    </row>
    <row r="18" customFormat="false" ht="15.75" hidden="false" customHeight="true" outlineLevel="0" collapsed="false">
      <c r="A18" s="3" t="s">
        <v>22</v>
      </c>
      <c r="B18" s="4" t="s">
        <v>23</v>
      </c>
    </row>
    <row r="19" customFormat="false" ht="31.5" hidden="false" customHeight="true" outlineLevel="0" collapsed="false">
      <c r="A19" s="3" t="s">
        <v>24</v>
      </c>
      <c r="B19" s="4" t="s">
        <v>25</v>
      </c>
    </row>
    <row r="20" customFormat="false" ht="15.75" hidden="false" customHeight="true" outlineLevel="0" collapsed="false">
      <c r="A20" s="3" t="s">
        <v>26</v>
      </c>
      <c r="B20" s="4" t="s">
        <v>27</v>
      </c>
    </row>
    <row r="21" customFormat="false" ht="15.75" hidden="false" customHeight="true" outlineLevel="0" collapsed="false">
      <c r="A21" s="3" t="s">
        <v>28</v>
      </c>
      <c r="B21" s="4" t="s">
        <v>29</v>
      </c>
    </row>
    <row r="22" customFormat="false" ht="15.75" hidden="false" customHeight="true" outlineLevel="0" collapsed="false">
      <c r="A22" s="3"/>
      <c r="B22" s="4"/>
    </row>
    <row r="23" customFormat="false" ht="15.75" hidden="false" customHeight="true" outlineLevel="0" collapsed="false">
      <c r="A23" s="5" t="s">
        <v>30</v>
      </c>
      <c r="B23" s="4"/>
    </row>
    <row r="24" customFormat="false" ht="15.75" hidden="false" customHeight="true" outlineLevel="0" collapsed="false">
      <c r="A24" s="3" t="s">
        <v>31</v>
      </c>
      <c r="B24" s="4" t="s">
        <v>32</v>
      </c>
    </row>
    <row r="25" customFormat="false" ht="31.5" hidden="false" customHeight="true" outlineLevel="0" collapsed="false">
      <c r="A25" s="3" t="s">
        <v>33</v>
      </c>
      <c r="B25" s="4" t="s">
        <v>34</v>
      </c>
    </row>
    <row r="26" customFormat="false" ht="15.75" hidden="false" customHeight="true" outlineLevel="0" collapsed="false">
      <c r="A26" s="3" t="s">
        <v>35</v>
      </c>
      <c r="B26" s="4" t="s">
        <v>36</v>
      </c>
    </row>
    <row r="27" customFormat="false" ht="15.75" hidden="false" customHeight="true" outlineLevel="0" collapsed="false">
      <c r="A27" s="3"/>
      <c r="B27" s="4"/>
    </row>
    <row r="28" customFormat="false" ht="15.75" hidden="false" customHeight="true" outlineLevel="0" collapsed="false">
      <c r="A28" s="5" t="s">
        <v>37</v>
      </c>
      <c r="B28" s="4"/>
    </row>
    <row r="29" customFormat="false" ht="15.75" hidden="false" customHeight="true" outlineLevel="0" collapsed="false">
      <c r="A29" s="3" t="s">
        <v>31</v>
      </c>
      <c r="B29" s="4" t="s">
        <v>38</v>
      </c>
    </row>
    <row r="30" customFormat="false" ht="31.5" hidden="false" customHeight="true" outlineLevel="0" collapsed="false">
      <c r="A30" s="3" t="s">
        <v>33</v>
      </c>
      <c r="B30" s="4" t="s">
        <v>39</v>
      </c>
    </row>
    <row r="31" customFormat="false" ht="15.75" hidden="false" customHeight="true" outlineLevel="0" collapsed="false">
      <c r="A31" s="3" t="s">
        <v>35</v>
      </c>
      <c r="B31" s="4" t="s">
        <v>40</v>
      </c>
    </row>
    <row r="32" customFormat="false" ht="15.75" hidden="false" customHeight="true" outlineLevel="0" collapsed="false">
      <c r="A32" s="3" t="s">
        <v>41</v>
      </c>
      <c r="B32" s="4" t="s">
        <v>42</v>
      </c>
    </row>
    <row r="33" customFormat="false" ht="15.75" hidden="false" customHeight="true" outlineLevel="0" collapsed="false">
      <c r="A33" s="3" t="s">
        <v>43</v>
      </c>
      <c r="B33" s="4" t="s">
        <v>44</v>
      </c>
    </row>
    <row r="34" customFormat="false" ht="15.75" hidden="false" customHeight="true" outlineLevel="0" collapsed="false">
      <c r="A34" s="3" t="s">
        <v>45</v>
      </c>
      <c r="B34" s="4" t="s">
        <v>46</v>
      </c>
    </row>
    <row r="35" customFormat="false" ht="15.75" hidden="false" customHeight="true" outlineLevel="0" collapsed="false">
      <c r="A35" s="3"/>
      <c r="B35" s="4"/>
    </row>
    <row r="36" customFormat="false" ht="15.75" hidden="false" customHeight="true" outlineLevel="0" collapsed="false">
      <c r="A36" s="5" t="s">
        <v>47</v>
      </c>
      <c r="B36" s="4"/>
    </row>
    <row r="37" customFormat="false" ht="31.5" hidden="false" customHeight="true" outlineLevel="0" collapsed="false">
      <c r="A37" s="3"/>
      <c r="B37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1"/>
    <col collapsed="false" customWidth="true" hidden="false" outlineLevel="0" max="8" min="8" style="0" width="30"/>
    <col collapsed="false" customWidth="true" hidden="false" outlineLevel="0" max="9" min="9" style="0" width="19"/>
    <col collapsed="false" customWidth="true" hidden="false" outlineLevel="0" max="10" min="10" style="0" width="38"/>
    <col collapsed="false" customWidth="true" hidden="false" outlineLevel="0" max="11" min="11" style="0" width="16"/>
    <col collapsed="false" customWidth="true" hidden="false" outlineLevel="0" max="12" min="12" style="0" width="21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5" min="15" style="0" width="23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22.05" hidden="false" customHeight="false" outlineLevel="0" collapsed="false">
      <c r="A1" s="6" t="s">
        <v>20</v>
      </c>
    </row>
    <row r="2" customFormat="false" ht="15" hidden="false" customHeight="false" outlineLevel="0" collapsed="false">
      <c r="A2" s="7" t="s">
        <v>49</v>
      </c>
    </row>
    <row r="4" customFormat="false" ht="15" hidden="false" customHeight="false" outlineLevel="0" collapsed="false">
      <c r="A4" s="8" t="s">
        <v>50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59</v>
      </c>
      <c r="K4" s="8" t="s">
        <v>60</v>
      </c>
      <c r="L4" s="8" t="s">
        <v>61</v>
      </c>
      <c r="M4" s="8" t="s">
        <v>62</v>
      </c>
      <c r="N4" s="8" t="s">
        <v>63</v>
      </c>
      <c r="O4" s="8" t="s">
        <v>64</v>
      </c>
      <c r="P4" s="8" t="s">
        <v>65</v>
      </c>
      <c r="Q4" s="8" t="s">
        <v>66</v>
      </c>
    </row>
    <row r="5" customFormat="false" ht="15" hidden="false" customHeight="false" outlineLevel="0" collapsed="false">
      <c r="A5" s="7" t="s">
        <v>67</v>
      </c>
      <c r="B5" s="7" t="s">
        <v>68</v>
      </c>
      <c r="C5" s="7" t="s">
        <v>69</v>
      </c>
      <c r="D5" s="7" t="s">
        <v>70</v>
      </c>
      <c r="E5" s="7" t="s">
        <v>71</v>
      </c>
      <c r="F5" s="7" t="s">
        <v>72</v>
      </c>
      <c r="G5" s="7" t="s">
        <v>73</v>
      </c>
      <c r="H5" s="7" t="s">
        <v>74</v>
      </c>
      <c r="I5" s="7" t="s">
        <v>75</v>
      </c>
      <c r="J5" s="7" t="s">
        <v>76</v>
      </c>
      <c r="K5" s="7" t="s">
        <v>77</v>
      </c>
      <c r="L5" s="7" t="s">
        <v>78</v>
      </c>
      <c r="M5" s="7" t="s">
        <v>79</v>
      </c>
      <c r="N5" s="7" t="s">
        <v>80</v>
      </c>
      <c r="O5" s="7" t="s">
        <v>81</v>
      </c>
      <c r="P5" s="7" t="s">
        <v>82</v>
      </c>
      <c r="Q5" s="7" t="s">
        <v>83</v>
      </c>
    </row>
    <row r="6" customFormat="false" ht="15" hidden="false" customHeight="false" outlineLevel="0" collapsed="false">
      <c r="A6" s="7" t="s">
        <v>84</v>
      </c>
      <c r="B6" s="7" t="s">
        <v>85</v>
      </c>
      <c r="C6" s="7" t="s">
        <v>86</v>
      </c>
      <c r="D6" s="7" t="s">
        <v>87</v>
      </c>
      <c r="E6" s="7" t="s">
        <v>88</v>
      </c>
      <c r="F6" s="7" t="s">
        <v>89</v>
      </c>
      <c r="G6" s="7" t="s">
        <v>90</v>
      </c>
      <c r="H6" s="7" t="s">
        <v>91</v>
      </c>
      <c r="I6" s="7" t="s">
        <v>92</v>
      </c>
      <c r="J6" s="7" t="s">
        <v>93</v>
      </c>
      <c r="K6" s="7" t="s">
        <v>94</v>
      </c>
      <c r="L6" s="7" t="s">
        <v>95</v>
      </c>
      <c r="M6" s="7" t="s">
        <v>96</v>
      </c>
      <c r="N6" s="7" t="s">
        <v>97</v>
      </c>
      <c r="O6" s="7" t="s">
        <v>98</v>
      </c>
      <c r="P6" s="7" t="s">
        <v>99</v>
      </c>
      <c r="Q6" s="7" t="s">
        <v>100</v>
      </c>
    </row>
    <row r="7" customFormat="false" ht="15" hidden="false" customHeight="false" outlineLevel="0" collapsed="false">
      <c r="B7" s="7" t="s">
        <v>101</v>
      </c>
      <c r="C7" s="7" t="s">
        <v>102</v>
      </c>
      <c r="D7" s="7" t="s">
        <v>103</v>
      </c>
      <c r="E7" s="7" t="s">
        <v>104</v>
      </c>
      <c r="F7" s="7" t="s">
        <v>105</v>
      </c>
      <c r="G7" s="7" t="s">
        <v>106</v>
      </c>
      <c r="H7" s="7" t="s">
        <v>107</v>
      </c>
      <c r="I7" s="7" t="s">
        <v>108</v>
      </c>
      <c r="J7" s="7" t="s">
        <v>109</v>
      </c>
      <c r="K7" s="7" t="s">
        <v>110</v>
      </c>
      <c r="L7" s="7" t="s">
        <v>111</v>
      </c>
      <c r="M7" s="7" t="s">
        <v>112</v>
      </c>
      <c r="O7" s="7" t="s">
        <v>113</v>
      </c>
      <c r="P7" s="7" t="s">
        <v>114</v>
      </c>
      <c r="Q7" s="7" t="s">
        <v>115</v>
      </c>
    </row>
    <row r="8" customFormat="false" ht="15" hidden="false" customHeight="false" outlineLevel="0" collapsed="false">
      <c r="B8" s="7" t="s">
        <v>116</v>
      </c>
      <c r="C8" s="7" t="s">
        <v>117</v>
      </c>
      <c r="D8" s="7" t="s">
        <v>118</v>
      </c>
      <c r="E8" s="7" t="s">
        <v>119</v>
      </c>
      <c r="F8" s="7" t="s">
        <v>120</v>
      </c>
      <c r="G8" s="7" t="s">
        <v>121</v>
      </c>
      <c r="H8" s="7" t="s">
        <v>122</v>
      </c>
      <c r="I8" s="7" t="s">
        <v>123</v>
      </c>
      <c r="J8" s="7" t="s">
        <v>124</v>
      </c>
      <c r="K8" s="7" t="s">
        <v>125</v>
      </c>
      <c r="L8" s="7" t="s">
        <v>126</v>
      </c>
      <c r="M8" s="7" t="s">
        <v>127</v>
      </c>
      <c r="O8" s="7" t="s">
        <v>128</v>
      </c>
      <c r="Q8" s="7" t="s">
        <v>129</v>
      </c>
    </row>
    <row r="9" customFormat="false" ht="15" hidden="false" customHeight="false" outlineLevel="0" collapsed="false">
      <c r="B9" s="7" t="s">
        <v>130</v>
      </c>
      <c r="C9" s="7" t="s">
        <v>123</v>
      </c>
      <c r="D9" s="7" t="s">
        <v>131</v>
      </c>
      <c r="F9" s="7" t="s">
        <v>132</v>
      </c>
      <c r="G9" s="7" t="s">
        <v>133</v>
      </c>
      <c r="H9" s="7" t="s">
        <v>134</v>
      </c>
      <c r="I9" s="7" t="s">
        <v>135</v>
      </c>
      <c r="J9" s="7" t="s">
        <v>136</v>
      </c>
      <c r="K9" s="7" t="s">
        <v>137</v>
      </c>
      <c r="L9" s="7" t="s">
        <v>138</v>
      </c>
      <c r="M9" s="7" t="s">
        <v>139</v>
      </c>
      <c r="O9" s="7" t="s">
        <v>140</v>
      </c>
      <c r="Q9" s="7" t="s">
        <v>141</v>
      </c>
    </row>
    <row r="10" customFormat="false" ht="15" hidden="false" customHeight="false" outlineLevel="0" collapsed="false">
      <c r="B10" s="7" t="s">
        <v>142</v>
      </c>
      <c r="C10" s="7" t="s">
        <v>143</v>
      </c>
      <c r="D10" s="7" t="s">
        <v>144</v>
      </c>
      <c r="F10" s="7" t="s">
        <v>145</v>
      </c>
      <c r="H10" s="7" t="s">
        <v>146</v>
      </c>
      <c r="I10" s="7" t="s">
        <v>147</v>
      </c>
      <c r="J10" s="7" t="s">
        <v>148</v>
      </c>
      <c r="K10" s="7" t="s">
        <v>149</v>
      </c>
      <c r="M10" s="7" t="s">
        <v>150</v>
      </c>
      <c r="O10" s="7" t="s">
        <v>151</v>
      </c>
      <c r="Q10" s="7" t="s">
        <v>152</v>
      </c>
    </row>
    <row r="11" customFormat="false" ht="15" hidden="false" customHeight="false" outlineLevel="0" collapsed="false">
      <c r="B11" s="7" t="s">
        <v>153</v>
      </c>
      <c r="C11" s="7" t="s">
        <v>144</v>
      </c>
      <c r="D11" s="7" t="s">
        <v>154</v>
      </c>
      <c r="F11" s="7" t="s">
        <v>155</v>
      </c>
      <c r="H11" s="7" t="s">
        <v>156</v>
      </c>
      <c r="I11" s="7" t="s">
        <v>157</v>
      </c>
      <c r="J11" s="7" t="s">
        <v>158</v>
      </c>
      <c r="M11" s="7" t="s">
        <v>159</v>
      </c>
      <c r="O11" s="7" t="s">
        <v>160</v>
      </c>
      <c r="Q11" s="7" t="s">
        <v>161</v>
      </c>
    </row>
    <row r="12" customFormat="false" ht="15" hidden="false" customHeight="false" outlineLevel="0" collapsed="false">
      <c r="B12" s="7" t="s">
        <v>162</v>
      </c>
      <c r="C12" s="7" t="s">
        <v>163</v>
      </c>
      <c r="H12" s="7" t="s">
        <v>164</v>
      </c>
      <c r="I12" s="7" t="s">
        <v>165</v>
      </c>
      <c r="J12" s="7" t="s">
        <v>166</v>
      </c>
      <c r="M12" s="7" t="s">
        <v>167</v>
      </c>
    </row>
    <row r="13" customFormat="false" ht="15" hidden="false" customHeight="false" outlineLevel="0" collapsed="false">
      <c r="B13" s="7" t="s">
        <v>168</v>
      </c>
      <c r="C13" s="7" t="s">
        <v>169</v>
      </c>
      <c r="H13" s="7" t="s">
        <v>170</v>
      </c>
      <c r="J13" s="7" t="s">
        <v>171</v>
      </c>
    </row>
    <row r="14" customFormat="false" ht="15" hidden="false" customHeight="false" outlineLevel="0" collapsed="false">
      <c r="B14" s="7" t="s">
        <v>172</v>
      </c>
      <c r="H14" s="7" t="s">
        <v>173</v>
      </c>
      <c r="J14" s="7" t="s">
        <v>174</v>
      </c>
    </row>
    <row r="15" customFormat="false" ht="15" hidden="false" customHeight="false" outlineLevel="0" collapsed="false">
      <c r="B15" s="7" t="s">
        <v>175</v>
      </c>
      <c r="H15" s="7" t="s">
        <v>176</v>
      </c>
      <c r="J15" s="7" t="s">
        <v>177</v>
      </c>
    </row>
    <row r="16" customFormat="false" ht="15" hidden="false" customHeight="false" outlineLevel="0" collapsed="false">
      <c r="B16" s="7" t="s">
        <v>178</v>
      </c>
      <c r="H16" s="7" t="s">
        <v>179</v>
      </c>
      <c r="J16" s="7" t="s">
        <v>180</v>
      </c>
    </row>
    <row r="17" customFormat="false" ht="15" hidden="false" customHeight="false" outlineLevel="0" collapsed="false">
      <c r="B17" s="7" t="s">
        <v>181</v>
      </c>
      <c r="H17" s="7" t="s">
        <v>182</v>
      </c>
      <c r="J17" s="7" t="s">
        <v>183</v>
      </c>
    </row>
    <row r="18" customFormat="false" ht="15" hidden="false" customHeight="false" outlineLevel="0" collapsed="false">
      <c r="B18" s="7" t="s">
        <v>167</v>
      </c>
      <c r="H18" s="7" t="s">
        <v>184</v>
      </c>
      <c r="J18" s="7" t="s">
        <v>185</v>
      </c>
    </row>
    <row r="19" customFormat="false" ht="15" hidden="false" customHeight="false" outlineLevel="0" collapsed="false">
      <c r="H19" s="7" t="s">
        <v>186</v>
      </c>
      <c r="J19" s="7" t="s">
        <v>187</v>
      </c>
    </row>
    <row r="20" customFormat="false" ht="15" hidden="false" customHeight="false" outlineLevel="0" collapsed="false">
      <c r="H20" s="7" t="s">
        <v>188</v>
      </c>
      <c r="J20" s="7" t="s">
        <v>167</v>
      </c>
    </row>
    <row r="21" customFormat="false" ht="15" hidden="false" customHeight="false" outlineLevel="0" collapsed="false">
      <c r="H21" s="7" t="s">
        <v>189</v>
      </c>
    </row>
    <row r="22" customFormat="false" ht="15" hidden="false" customHeight="false" outlineLevel="0" collapsed="false">
      <c r="H22" s="7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16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4" min="13" style="0" width="22"/>
    <col collapsed="false" customWidth="true" hidden="false" outlineLevel="0" max="15" min="15" style="0" width="24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40"/>
    <col collapsed="false" customWidth="true" hidden="false" outlineLevel="0" max="21" min="21" style="0" width="22"/>
    <col collapsed="false" customWidth="true" hidden="false" outlineLevel="0" max="22" min="22" style="0" width="52"/>
    <col collapsed="false" customWidth="true" hidden="false" outlineLevel="0" max="23" min="23" style="0" width="24"/>
  </cols>
  <sheetData>
    <row r="1" customFormat="false" ht="22.05" hidden="false" customHeight="false" outlineLevel="0" collapsed="false">
      <c r="A1" s="6" t="s">
        <v>6</v>
      </c>
    </row>
    <row r="2" customFormat="false" ht="25.5" hidden="false" customHeight="true" outlineLevel="0" collapsed="false">
      <c r="A2" s="7" t="s">
        <v>191</v>
      </c>
    </row>
    <row r="4" customFormat="false" ht="31.5" hidden="false" customHeight="true" outlineLevel="0" collapsed="false">
      <c r="A4" s="9" t="s">
        <v>192</v>
      </c>
      <c r="B4" s="9" t="s">
        <v>193</v>
      </c>
      <c r="C4" s="9" t="s">
        <v>194</v>
      </c>
      <c r="D4" s="9" t="s">
        <v>195</v>
      </c>
      <c r="E4" s="9" t="s">
        <v>196</v>
      </c>
      <c r="F4" s="9" t="s">
        <v>197</v>
      </c>
      <c r="G4" s="9" t="s">
        <v>198</v>
      </c>
      <c r="H4" s="9" t="s">
        <v>199</v>
      </c>
      <c r="I4" s="9" t="s">
        <v>200</v>
      </c>
      <c r="J4" s="9" t="s">
        <v>201</v>
      </c>
      <c r="K4" s="9" t="s">
        <v>202</v>
      </c>
      <c r="L4" s="9" t="s">
        <v>203</v>
      </c>
      <c r="M4" s="9" t="s">
        <v>204</v>
      </c>
      <c r="N4" s="9" t="s">
        <v>205</v>
      </c>
      <c r="O4" s="9" t="s">
        <v>206</v>
      </c>
      <c r="P4" s="9" t="s">
        <v>207</v>
      </c>
      <c r="Q4" s="9" t="s">
        <v>208</v>
      </c>
      <c r="R4" s="9" t="s">
        <v>209</v>
      </c>
      <c r="S4" s="9" t="s">
        <v>210</v>
      </c>
      <c r="T4" s="9" t="s">
        <v>211</v>
      </c>
      <c r="U4" s="9" t="s">
        <v>212</v>
      </c>
      <c r="V4" s="9" t="s">
        <v>213</v>
      </c>
      <c r="W4" s="9" t="s">
        <v>214</v>
      </c>
    </row>
    <row r="5" customFormat="false" ht="15" hidden="false" customHeight="false" outlineLevel="0" collapsed="false">
      <c r="A5" s="10" t="s">
        <v>215</v>
      </c>
      <c r="B5" s="10" t="s">
        <v>67</v>
      </c>
      <c r="C5" s="10" t="s">
        <v>216</v>
      </c>
      <c r="D5" s="10" t="s">
        <v>217</v>
      </c>
      <c r="E5" s="10"/>
      <c r="F5" s="10"/>
      <c r="G5" s="10" t="s">
        <v>68</v>
      </c>
      <c r="H5" s="10" t="s">
        <v>83</v>
      </c>
      <c r="I5" s="11" t="s">
        <v>218</v>
      </c>
      <c r="J5" s="10" t="s">
        <v>143</v>
      </c>
      <c r="K5" s="10" t="s">
        <v>87</v>
      </c>
      <c r="L5" s="10" t="s">
        <v>88</v>
      </c>
      <c r="M5" s="10" t="s">
        <v>219</v>
      </c>
      <c r="N5" s="12" t="n">
        <v>12000000</v>
      </c>
      <c r="O5" s="12" t="n">
        <f aca="false">IF(OR($N5="",$N5=0),"",MAX(MIN($N5,Aannames!$B$5)*Aannames!$C$5+MAX(0,MIN($N5,Aannames!$B$6)-Aannames!$B$5)*Aannames!$C$6+MAX(0,MIN($N5,Aannames!$B$7)-Aannames!$B$6)*Aannames!$C$7+MAX(0,$N5-Aannames!$B$7)*Aannames!$C$8,Aannames!$B$9)+Aannames!$B$10)</f>
        <v>555000</v>
      </c>
      <c r="P5" s="13" t="n">
        <f aca="false">IF($L5="","",IFERROR(_xlfn.SWITCH($L5,"M1",Aannames!$B$16,"M2",Aannames!$B$17,"M3",Aannames!$B$18,"M4",Aannames!$B$19),""))</f>
        <v>0.4</v>
      </c>
      <c r="Q5" s="12" t="n">
        <f aca="false">IF(OR($O5="",$P5=""),"",IFERROR(_xlfn.SWITCH($L5,"M1",Aannames!$B$10,"M2",Aannames!$B$10+($O5-Aannames!$B$10)*Aannames!$B$12,"M3",Aannames!$B$10+($O5-Aannames!$B$10)*(Aannames!$B$12+Aannames!$B$13),"M4",$O5),0)+($O5-IFERROR(_xlfn.SWITCH($L5,"M1",Aannames!$B$10,"M2",Aannames!$B$10+($O5-Aannames!$B$10)*Aannames!$B$12,"M3",Aannames!$B$10+($O5-Aannames!$B$10)*(Aannames!$B$12+Aannames!$B$13),"M4",$O5),0))*$P5)</f>
        <v>332400</v>
      </c>
      <c r="R5" s="10" t="s">
        <v>83</v>
      </c>
      <c r="S5" s="10" t="s">
        <v>82</v>
      </c>
      <c r="T5" s="10" t="s">
        <v>220</v>
      </c>
      <c r="U5" s="11" t="s">
        <v>221</v>
      </c>
      <c r="V5" s="10" t="s">
        <v>222</v>
      </c>
      <c r="W5" s="14" t="n">
        <v>900</v>
      </c>
    </row>
    <row r="6" customFormat="false" ht="15" hidden="false" customHeight="false" outlineLevel="0" collapsed="false">
      <c r="A6" s="10" t="s">
        <v>223</v>
      </c>
      <c r="B6" s="10" t="s">
        <v>84</v>
      </c>
      <c r="C6" s="10" t="s">
        <v>224</v>
      </c>
      <c r="D6" s="10" t="s">
        <v>225</v>
      </c>
      <c r="E6" s="10" t="s">
        <v>226</v>
      </c>
      <c r="F6" s="10" t="s">
        <v>227</v>
      </c>
      <c r="G6" s="10" t="s">
        <v>101</v>
      </c>
      <c r="H6" s="10" t="s">
        <v>83</v>
      </c>
      <c r="I6" s="11" t="s">
        <v>228</v>
      </c>
      <c r="J6" s="10" t="s">
        <v>86</v>
      </c>
      <c r="K6" s="10" t="s">
        <v>70</v>
      </c>
      <c r="L6" s="10" t="s">
        <v>71</v>
      </c>
      <c r="M6" s="10" t="s">
        <v>229</v>
      </c>
      <c r="N6" s="12" t="n">
        <v>4500000</v>
      </c>
      <c r="O6" s="12" t="n">
        <f aca="false">IF(OR($N6="",$N6=0),"",MAX(MIN($N6,Aannames!$B$5)*Aannames!$C$5+MAX(0,MIN($N6,Aannames!$B$6)-Aannames!$B$5)*Aannames!$C$6+MAX(0,MIN($N6,Aannames!$B$7)-Aannames!$B$6)*Aannames!$C$7+MAX(0,$N6-Aannames!$B$7)*Aannames!$C$8,Aannames!$B$9)+Aannames!$B$10)</f>
        <v>250000</v>
      </c>
      <c r="P6" s="13" t="n">
        <f aca="false">IF($L6="","",IFERROR(_xlfn.SWITCH($L6,"M1",Aannames!$B$16,"M2",Aannames!$B$17,"M3",Aannames!$B$18,"M4",Aannames!$B$19),""))</f>
        <v>0.2</v>
      </c>
      <c r="Q6" s="12" t="n">
        <f aca="false">IF(OR($O6="",$P6=""),"",IFERROR(_xlfn.SWITCH($L6,"M1",Aannames!$B$10,"M2",Aannames!$B$10+($O6-Aannames!$B$10)*Aannames!$B$12,"M3",Aannames!$B$10+($O6-Aannames!$B$10)*(Aannames!$B$12+Aannames!$B$13),"M4",$O6),0)+($O6-IFERROR(_xlfn.SWITCH($L6,"M1",Aannames!$B$10,"M2",Aannames!$B$10+($O6-Aannames!$B$10)*Aannames!$B$12,"M3",Aannames!$B$10+($O6-Aannames!$B$10)*(Aannames!$B$12+Aannames!$B$13),"M4",$O6),0))*$P6)</f>
        <v>70000</v>
      </c>
      <c r="R6" s="10" t="s">
        <v>83</v>
      </c>
      <c r="S6" s="10" t="s">
        <v>99</v>
      </c>
      <c r="T6" s="10" t="s">
        <v>230</v>
      </c>
      <c r="U6" s="11" t="s">
        <v>231</v>
      </c>
      <c r="V6" s="10" t="s">
        <v>232</v>
      </c>
      <c r="W6" s="14" t="n">
        <v>550</v>
      </c>
    </row>
    <row r="7" customFormat="false" ht="15" hidden="false" customHeight="false" outlineLevel="0" collapsed="false">
      <c r="I7" s="15"/>
      <c r="N7" s="16"/>
      <c r="O7" s="17" t="str">
        <f aca="false">IF(OR($N7="",$N7=0),"",MAX(MIN($N7,Aannames!$B$5)*Aannames!$C$5+MAX(0,MIN($N7,Aannames!$B$6)-Aannames!$B$5)*Aannames!$C$6+MAX(0,MIN($N7,Aannames!$B$7)-Aannames!$B$6)*Aannames!$C$7+MAX(0,$N7-Aannames!$B$7)*Aannames!$C$8,Aannames!$B$9)+Aannames!$B$10)</f>
        <v/>
      </c>
      <c r="P7" s="18" t="str">
        <f aca="false">IF($L7="","",IFERROR(_xlfn.SWITCH($L7,"M1",Aannames!$B$16,"M2",Aannames!$B$17,"M3",Aannames!$B$18,"M4",Aannames!$B$19),""))</f>
        <v/>
      </c>
      <c r="Q7" s="17" t="str">
        <f aca="false">IF(OR($O7="",$P7=""),"",IFERROR(_xlfn.SWITCH($L7,"M1",Aannames!$B$10,"M2",Aannames!$B$10+($O7-Aannames!$B$10)*Aannames!$B$12,"M3",Aannames!$B$10+($O7-Aannames!$B$10)*(Aannames!$B$12+Aannames!$B$13),"M4",$O7),0)+($O7-IFERROR(_xlfn.SWITCH($L7,"M1",Aannames!$B$10,"M2",Aannames!$B$10+($O7-Aannames!$B$10)*Aannames!$B$12,"M3",Aannames!$B$10+($O7-Aannames!$B$10)*(Aannames!$B$12+Aannames!$B$13),"M4",$O7),0))*$P7)</f>
        <v/>
      </c>
      <c r="U7" s="15"/>
    </row>
    <row r="8" customFormat="false" ht="15" hidden="false" customHeight="false" outlineLevel="0" collapsed="false">
      <c r="I8" s="15"/>
      <c r="N8" s="16"/>
      <c r="O8" s="17" t="str">
        <f aca="false">IF(OR($N8="",$N8=0),"",MAX(MIN($N8,Aannames!$B$5)*Aannames!$C$5+MAX(0,MIN($N8,Aannames!$B$6)-Aannames!$B$5)*Aannames!$C$6+MAX(0,MIN($N8,Aannames!$B$7)-Aannames!$B$6)*Aannames!$C$7+MAX(0,$N8-Aannames!$B$7)*Aannames!$C$8,Aannames!$B$9)+Aannames!$B$10)</f>
        <v/>
      </c>
      <c r="P8" s="18" t="str">
        <f aca="false">IF($L8="","",IFERROR(_xlfn.SWITCH($L8,"M1",Aannames!$B$16,"M2",Aannames!$B$17,"M3",Aannames!$B$18,"M4",Aannames!$B$19),""))</f>
        <v/>
      </c>
      <c r="Q8" s="17" t="str">
        <f aca="false">IF(OR($O8="",$P8=""),"",IFERROR(_xlfn.SWITCH($L8,"M1",Aannames!$B$10,"M2",Aannames!$B$10+($O8-Aannames!$B$10)*Aannames!$B$12,"M3",Aannames!$B$10+($O8-Aannames!$B$10)*(Aannames!$B$12+Aannames!$B$13),"M4",$O8),0)+($O8-IFERROR(_xlfn.SWITCH($L8,"M1",Aannames!$B$10,"M2",Aannames!$B$10+($O8-Aannames!$B$10)*Aannames!$B$12,"M3",Aannames!$B$10+($O8-Aannames!$B$10)*(Aannames!$B$12+Aannames!$B$13),"M4",$O8),0))*$P8)</f>
        <v/>
      </c>
      <c r="U8" s="15"/>
    </row>
    <row r="9" customFormat="false" ht="15" hidden="false" customHeight="false" outlineLevel="0" collapsed="false">
      <c r="I9" s="15"/>
      <c r="N9" s="16"/>
      <c r="O9" s="17" t="str">
        <f aca="false">IF(OR($N9="",$N9=0),"",MAX(MIN($N9,Aannames!$B$5)*Aannames!$C$5+MAX(0,MIN($N9,Aannames!$B$6)-Aannames!$B$5)*Aannames!$C$6+MAX(0,MIN($N9,Aannames!$B$7)-Aannames!$B$6)*Aannames!$C$7+MAX(0,$N9-Aannames!$B$7)*Aannames!$C$8,Aannames!$B$9)+Aannames!$B$10)</f>
        <v/>
      </c>
      <c r="P9" s="18" t="str">
        <f aca="false">IF($L9="","",IFERROR(_xlfn.SWITCH($L9,"M1",Aannames!$B$16,"M2",Aannames!$B$17,"M3",Aannames!$B$18,"M4",Aannames!$B$19),""))</f>
        <v/>
      </c>
      <c r="Q9" s="17" t="str">
        <f aca="false">IF(OR($O9="",$P9=""),"",IFERROR(_xlfn.SWITCH($L9,"M1",Aannames!$B$10,"M2",Aannames!$B$10+($O9-Aannames!$B$10)*Aannames!$B$12,"M3",Aannames!$B$10+($O9-Aannames!$B$10)*(Aannames!$B$12+Aannames!$B$13),"M4",$O9),0)+($O9-IFERROR(_xlfn.SWITCH($L9,"M1",Aannames!$B$10,"M2",Aannames!$B$10+($O9-Aannames!$B$10)*Aannames!$B$12,"M3",Aannames!$B$10+($O9-Aannames!$B$10)*(Aannames!$B$12+Aannames!$B$13),"M4",$O9),0))*$P9)</f>
        <v/>
      </c>
      <c r="U9" s="15"/>
    </row>
    <row r="10" customFormat="false" ht="15" hidden="false" customHeight="false" outlineLevel="0" collapsed="false">
      <c r="I10" s="15"/>
      <c r="N10" s="16"/>
      <c r="O10" s="17" t="str">
        <f aca="false">IF(OR($N10="",$N10=0),"",MAX(MIN($N10,Aannames!$B$5)*Aannames!$C$5+MAX(0,MIN($N10,Aannames!$B$6)-Aannames!$B$5)*Aannames!$C$6+MAX(0,MIN($N10,Aannames!$B$7)-Aannames!$B$6)*Aannames!$C$7+MAX(0,$N10-Aannames!$B$7)*Aannames!$C$8,Aannames!$B$9)+Aannames!$B$10)</f>
        <v/>
      </c>
      <c r="P10" s="18" t="str">
        <f aca="false">IF($L10="","",IFERROR(_xlfn.SWITCH($L10,"M1",Aannames!$B$16,"M2",Aannames!$B$17,"M3",Aannames!$B$18,"M4",Aannames!$B$19),""))</f>
        <v/>
      </c>
      <c r="Q10" s="17" t="str">
        <f aca="false">IF(OR($O10="",$P10=""),"",IFERROR(_xlfn.SWITCH($L10,"M1",Aannames!$B$10,"M2",Aannames!$B$10+($O10-Aannames!$B$10)*Aannames!$B$12,"M3",Aannames!$B$10+($O10-Aannames!$B$10)*(Aannames!$B$12+Aannames!$B$13),"M4",$O10),0)+($O10-IFERROR(_xlfn.SWITCH($L10,"M1",Aannames!$B$10,"M2",Aannames!$B$10+($O10-Aannames!$B$10)*Aannames!$B$12,"M3",Aannames!$B$10+($O10-Aannames!$B$10)*(Aannames!$B$12+Aannames!$B$13),"M4",$O10),0))*$P10)</f>
        <v/>
      </c>
      <c r="U10" s="15"/>
    </row>
    <row r="11" customFormat="false" ht="15" hidden="false" customHeight="false" outlineLevel="0" collapsed="false">
      <c r="I11" s="15"/>
      <c r="N11" s="16"/>
      <c r="O11" s="17" t="str">
        <f aca="false">IF(OR($N11="",$N11=0),"",MAX(MIN($N11,Aannames!$B$5)*Aannames!$C$5+MAX(0,MIN($N11,Aannames!$B$6)-Aannames!$B$5)*Aannames!$C$6+MAX(0,MIN($N11,Aannames!$B$7)-Aannames!$B$6)*Aannames!$C$7+MAX(0,$N11-Aannames!$B$7)*Aannames!$C$8,Aannames!$B$9)+Aannames!$B$10)</f>
        <v/>
      </c>
      <c r="P11" s="18" t="str">
        <f aca="false">IF($L11="","",IFERROR(_xlfn.SWITCH($L11,"M1",Aannames!$B$16,"M2",Aannames!$B$17,"M3",Aannames!$B$18,"M4",Aannames!$B$19),""))</f>
        <v/>
      </c>
      <c r="Q11" s="17" t="str">
        <f aca="false">IF(OR($O11="",$P11=""),"",IFERROR(_xlfn.SWITCH($L11,"M1",Aannames!$B$10,"M2",Aannames!$B$10+($O11-Aannames!$B$10)*Aannames!$B$12,"M3",Aannames!$B$10+($O11-Aannames!$B$10)*(Aannames!$B$12+Aannames!$B$13),"M4",$O11),0)+($O11-IFERROR(_xlfn.SWITCH($L11,"M1",Aannames!$B$10,"M2",Aannames!$B$10+($O11-Aannames!$B$10)*Aannames!$B$12,"M3",Aannames!$B$10+($O11-Aannames!$B$10)*(Aannames!$B$12+Aannames!$B$13),"M4",$O11),0))*$P11)</f>
        <v/>
      </c>
      <c r="U11" s="15"/>
    </row>
    <row r="12" customFormat="false" ht="15" hidden="false" customHeight="false" outlineLevel="0" collapsed="false">
      <c r="I12" s="15"/>
      <c r="N12" s="16"/>
      <c r="O12" s="17" t="str">
        <f aca="false">IF(OR($N12="",$N12=0),"",MAX(MIN($N12,Aannames!$B$5)*Aannames!$C$5+MAX(0,MIN($N12,Aannames!$B$6)-Aannames!$B$5)*Aannames!$C$6+MAX(0,MIN($N12,Aannames!$B$7)-Aannames!$B$6)*Aannames!$C$7+MAX(0,$N12-Aannames!$B$7)*Aannames!$C$8,Aannames!$B$9)+Aannames!$B$10)</f>
        <v/>
      </c>
      <c r="P12" s="18" t="str">
        <f aca="false">IF($L12="","",IFERROR(_xlfn.SWITCH($L12,"M1",Aannames!$B$16,"M2",Aannames!$B$17,"M3",Aannames!$B$18,"M4",Aannames!$B$19),""))</f>
        <v/>
      </c>
      <c r="Q12" s="17" t="str">
        <f aca="false">IF(OR($O12="",$P12=""),"",IFERROR(_xlfn.SWITCH($L12,"M1",Aannames!$B$10,"M2",Aannames!$B$10+($O12-Aannames!$B$10)*Aannames!$B$12,"M3",Aannames!$B$10+($O12-Aannames!$B$10)*(Aannames!$B$12+Aannames!$B$13),"M4",$O12),0)+($O12-IFERROR(_xlfn.SWITCH($L12,"M1",Aannames!$B$10,"M2",Aannames!$B$10+($O12-Aannames!$B$10)*Aannames!$B$12,"M3",Aannames!$B$10+($O12-Aannames!$B$10)*(Aannames!$B$12+Aannames!$B$13),"M4",$O12),0))*$P12)</f>
        <v/>
      </c>
      <c r="U12" s="15"/>
    </row>
    <row r="13" customFormat="false" ht="15" hidden="false" customHeight="false" outlineLevel="0" collapsed="false">
      <c r="I13" s="15"/>
      <c r="N13" s="16"/>
      <c r="O13" s="17" t="str">
        <f aca="false">IF(OR($N13="",$N13=0),"",MAX(MIN($N13,Aannames!$B$5)*Aannames!$C$5+MAX(0,MIN($N13,Aannames!$B$6)-Aannames!$B$5)*Aannames!$C$6+MAX(0,MIN($N13,Aannames!$B$7)-Aannames!$B$6)*Aannames!$C$7+MAX(0,$N13-Aannames!$B$7)*Aannames!$C$8,Aannames!$B$9)+Aannames!$B$10)</f>
        <v/>
      </c>
      <c r="P13" s="18" t="str">
        <f aca="false">IF($L13="","",IFERROR(_xlfn.SWITCH($L13,"M1",Aannames!$B$16,"M2",Aannames!$B$17,"M3",Aannames!$B$18,"M4",Aannames!$B$19),""))</f>
        <v/>
      </c>
      <c r="Q13" s="17" t="str">
        <f aca="false">IF(OR($O13="",$P13=""),"",IFERROR(_xlfn.SWITCH($L13,"M1",Aannames!$B$10,"M2",Aannames!$B$10+($O13-Aannames!$B$10)*Aannames!$B$12,"M3",Aannames!$B$10+($O13-Aannames!$B$10)*(Aannames!$B$12+Aannames!$B$13),"M4",$O13),0)+($O13-IFERROR(_xlfn.SWITCH($L13,"M1",Aannames!$B$10,"M2",Aannames!$B$10+($O13-Aannames!$B$10)*Aannames!$B$12,"M3",Aannames!$B$10+($O13-Aannames!$B$10)*(Aannames!$B$12+Aannames!$B$13),"M4",$O13),0))*$P13)</f>
        <v/>
      </c>
      <c r="U13" s="15"/>
    </row>
    <row r="14" customFormat="false" ht="15" hidden="false" customHeight="false" outlineLevel="0" collapsed="false">
      <c r="I14" s="15"/>
      <c r="N14" s="16"/>
      <c r="O14" s="17" t="str">
        <f aca="false">IF(OR($N14="",$N14=0),"",MAX(MIN($N14,Aannames!$B$5)*Aannames!$C$5+MAX(0,MIN($N14,Aannames!$B$6)-Aannames!$B$5)*Aannames!$C$6+MAX(0,MIN($N14,Aannames!$B$7)-Aannames!$B$6)*Aannames!$C$7+MAX(0,$N14-Aannames!$B$7)*Aannames!$C$8,Aannames!$B$9)+Aannames!$B$10)</f>
        <v/>
      </c>
      <c r="P14" s="18" t="str">
        <f aca="false">IF($L14="","",IFERROR(_xlfn.SWITCH($L14,"M1",Aannames!$B$16,"M2",Aannames!$B$17,"M3",Aannames!$B$18,"M4",Aannames!$B$19),""))</f>
        <v/>
      </c>
      <c r="Q14" s="17" t="str">
        <f aca="false">IF(OR($O14="",$P14=""),"",IFERROR(_xlfn.SWITCH($L14,"M1",Aannames!$B$10,"M2",Aannames!$B$10+($O14-Aannames!$B$10)*Aannames!$B$12,"M3",Aannames!$B$10+($O14-Aannames!$B$10)*(Aannames!$B$12+Aannames!$B$13),"M4",$O14),0)+($O14-IFERROR(_xlfn.SWITCH($L14,"M1",Aannames!$B$10,"M2",Aannames!$B$10+($O14-Aannames!$B$10)*Aannames!$B$12,"M3",Aannames!$B$10+($O14-Aannames!$B$10)*(Aannames!$B$12+Aannames!$B$13),"M4",$O14),0))*$P14)</f>
        <v/>
      </c>
      <c r="U14" s="15"/>
    </row>
    <row r="15" customFormat="false" ht="15" hidden="false" customHeight="false" outlineLevel="0" collapsed="false">
      <c r="I15" s="15"/>
      <c r="N15" s="16"/>
      <c r="O15" s="17" t="str">
        <f aca="false">IF(OR($N15="",$N15=0),"",MAX(MIN($N15,Aannames!$B$5)*Aannames!$C$5+MAX(0,MIN($N15,Aannames!$B$6)-Aannames!$B$5)*Aannames!$C$6+MAX(0,MIN($N15,Aannames!$B$7)-Aannames!$B$6)*Aannames!$C$7+MAX(0,$N15-Aannames!$B$7)*Aannames!$C$8,Aannames!$B$9)+Aannames!$B$10)</f>
        <v/>
      </c>
      <c r="P15" s="18" t="str">
        <f aca="false">IF($L15="","",IFERROR(_xlfn.SWITCH($L15,"M1",Aannames!$B$16,"M2",Aannames!$B$17,"M3",Aannames!$B$18,"M4",Aannames!$B$19),""))</f>
        <v/>
      </c>
      <c r="Q15" s="17" t="str">
        <f aca="false">IF(OR($O15="",$P15=""),"",IFERROR(_xlfn.SWITCH($L15,"M1",Aannames!$B$10,"M2",Aannames!$B$10+($O15-Aannames!$B$10)*Aannames!$B$12,"M3",Aannames!$B$10+($O15-Aannames!$B$10)*(Aannames!$B$12+Aannames!$B$13),"M4",$O15),0)+($O15-IFERROR(_xlfn.SWITCH($L15,"M1",Aannames!$B$10,"M2",Aannames!$B$10+($O15-Aannames!$B$10)*Aannames!$B$12,"M3",Aannames!$B$10+($O15-Aannames!$B$10)*(Aannames!$B$12+Aannames!$B$13),"M4",$O15),0))*$P15)</f>
        <v/>
      </c>
      <c r="U15" s="15"/>
    </row>
    <row r="16" customFormat="false" ht="15" hidden="false" customHeight="false" outlineLevel="0" collapsed="false">
      <c r="I16" s="15"/>
      <c r="N16" s="16"/>
      <c r="O16" s="17" t="str">
        <f aca="false">IF(OR($N16="",$N16=0),"",MAX(MIN($N16,Aannames!$B$5)*Aannames!$C$5+MAX(0,MIN($N16,Aannames!$B$6)-Aannames!$B$5)*Aannames!$C$6+MAX(0,MIN($N16,Aannames!$B$7)-Aannames!$B$6)*Aannames!$C$7+MAX(0,$N16-Aannames!$B$7)*Aannames!$C$8,Aannames!$B$9)+Aannames!$B$10)</f>
        <v/>
      </c>
      <c r="P16" s="18" t="str">
        <f aca="false">IF($L16="","",IFERROR(_xlfn.SWITCH($L16,"M1",Aannames!$B$16,"M2",Aannames!$B$17,"M3",Aannames!$B$18,"M4",Aannames!$B$19),""))</f>
        <v/>
      </c>
      <c r="Q16" s="17" t="str">
        <f aca="false">IF(OR($O16="",$P16=""),"",IFERROR(_xlfn.SWITCH($L16,"M1",Aannames!$B$10,"M2",Aannames!$B$10+($O16-Aannames!$B$10)*Aannames!$B$12,"M3",Aannames!$B$10+($O16-Aannames!$B$10)*(Aannames!$B$12+Aannames!$B$13),"M4",$O16),0)+($O16-IFERROR(_xlfn.SWITCH($L16,"M1",Aannames!$B$10,"M2",Aannames!$B$10+($O16-Aannames!$B$10)*Aannames!$B$12,"M3",Aannames!$B$10+($O16-Aannames!$B$10)*(Aannames!$B$12+Aannames!$B$13),"M4",$O16),0))*$P16)</f>
        <v/>
      </c>
      <c r="U16" s="15"/>
    </row>
    <row r="17" customFormat="false" ht="15" hidden="false" customHeight="false" outlineLevel="0" collapsed="false">
      <c r="I17" s="15"/>
      <c r="N17" s="16"/>
      <c r="O17" s="17" t="str">
        <f aca="false">IF(OR($N17="",$N17=0),"",MAX(MIN($N17,Aannames!$B$5)*Aannames!$C$5+MAX(0,MIN($N17,Aannames!$B$6)-Aannames!$B$5)*Aannames!$C$6+MAX(0,MIN($N17,Aannames!$B$7)-Aannames!$B$6)*Aannames!$C$7+MAX(0,$N17-Aannames!$B$7)*Aannames!$C$8,Aannames!$B$9)+Aannames!$B$10)</f>
        <v/>
      </c>
      <c r="P17" s="18" t="str">
        <f aca="false">IF($L17="","",IFERROR(_xlfn.SWITCH($L17,"M1",Aannames!$B$16,"M2",Aannames!$B$17,"M3",Aannames!$B$18,"M4",Aannames!$B$19),""))</f>
        <v/>
      </c>
      <c r="Q17" s="17" t="str">
        <f aca="false">IF(OR($O17="",$P17=""),"",IFERROR(_xlfn.SWITCH($L17,"M1",Aannames!$B$10,"M2",Aannames!$B$10+($O17-Aannames!$B$10)*Aannames!$B$12,"M3",Aannames!$B$10+($O17-Aannames!$B$10)*(Aannames!$B$12+Aannames!$B$13),"M4",$O17),0)+($O17-IFERROR(_xlfn.SWITCH($L17,"M1",Aannames!$B$10,"M2",Aannames!$B$10+($O17-Aannames!$B$10)*Aannames!$B$12,"M3",Aannames!$B$10+($O17-Aannames!$B$10)*(Aannames!$B$12+Aannames!$B$13),"M4",$O17),0))*$P17)</f>
        <v/>
      </c>
      <c r="U17" s="15"/>
    </row>
    <row r="18" customFormat="false" ht="15" hidden="false" customHeight="false" outlineLevel="0" collapsed="false">
      <c r="I18" s="15"/>
      <c r="N18" s="16"/>
      <c r="O18" s="17" t="str">
        <f aca="false">IF(OR($N18="",$N18=0),"",MAX(MIN($N18,Aannames!$B$5)*Aannames!$C$5+MAX(0,MIN($N18,Aannames!$B$6)-Aannames!$B$5)*Aannames!$C$6+MAX(0,MIN($N18,Aannames!$B$7)-Aannames!$B$6)*Aannames!$C$7+MAX(0,$N18-Aannames!$B$7)*Aannames!$C$8,Aannames!$B$9)+Aannames!$B$10)</f>
        <v/>
      </c>
      <c r="P18" s="18" t="str">
        <f aca="false">IF($L18="","",IFERROR(_xlfn.SWITCH($L18,"M1",Aannames!$B$16,"M2",Aannames!$B$17,"M3",Aannames!$B$18,"M4",Aannames!$B$19),""))</f>
        <v/>
      </c>
      <c r="Q18" s="17" t="str">
        <f aca="false">IF(OR($O18="",$P18=""),"",IFERROR(_xlfn.SWITCH($L18,"M1",Aannames!$B$10,"M2",Aannames!$B$10+($O18-Aannames!$B$10)*Aannames!$B$12,"M3",Aannames!$B$10+($O18-Aannames!$B$10)*(Aannames!$B$12+Aannames!$B$13),"M4",$O18),0)+($O18-IFERROR(_xlfn.SWITCH($L18,"M1",Aannames!$B$10,"M2",Aannames!$B$10+($O18-Aannames!$B$10)*Aannames!$B$12,"M3",Aannames!$B$10+($O18-Aannames!$B$10)*(Aannames!$B$12+Aannames!$B$13),"M4",$O18),0))*$P18)</f>
        <v/>
      </c>
      <c r="U18" s="15"/>
    </row>
    <row r="19" customFormat="false" ht="15" hidden="false" customHeight="false" outlineLevel="0" collapsed="false">
      <c r="I19" s="15"/>
      <c r="N19" s="16"/>
      <c r="O19" s="17" t="str">
        <f aca="false">IF(OR($N19="",$N19=0),"",MAX(MIN($N19,Aannames!$B$5)*Aannames!$C$5+MAX(0,MIN($N19,Aannames!$B$6)-Aannames!$B$5)*Aannames!$C$6+MAX(0,MIN($N19,Aannames!$B$7)-Aannames!$B$6)*Aannames!$C$7+MAX(0,$N19-Aannames!$B$7)*Aannames!$C$8,Aannames!$B$9)+Aannames!$B$10)</f>
        <v/>
      </c>
      <c r="P19" s="18" t="str">
        <f aca="false">IF($L19="","",IFERROR(_xlfn.SWITCH($L19,"M1",Aannames!$B$16,"M2",Aannames!$B$17,"M3",Aannames!$B$18,"M4",Aannames!$B$19),""))</f>
        <v/>
      </c>
      <c r="Q19" s="17" t="str">
        <f aca="false">IF(OR($O19="",$P19=""),"",IFERROR(_xlfn.SWITCH($L19,"M1",Aannames!$B$10,"M2",Aannames!$B$10+($O19-Aannames!$B$10)*Aannames!$B$12,"M3",Aannames!$B$10+($O19-Aannames!$B$10)*(Aannames!$B$12+Aannames!$B$13),"M4",$O19),0)+($O19-IFERROR(_xlfn.SWITCH($L19,"M1",Aannames!$B$10,"M2",Aannames!$B$10+($O19-Aannames!$B$10)*Aannames!$B$12,"M3",Aannames!$B$10+($O19-Aannames!$B$10)*(Aannames!$B$12+Aannames!$B$13),"M4",$O19),0))*$P19)</f>
        <v/>
      </c>
      <c r="U19" s="15"/>
    </row>
    <row r="20" customFormat="false" ht="15" hidden="false" customHeight="false" outlineLevel="0" collapsed="false">
      <c r="I20" s="15"/>
      <c r="N20" s="16"/>
      <c r="O20" s="17" t="str">
        <f aca="false">IF(OR($N20="",$N20=0),"",MAX(MIN($N20,Aannames!$B$5)*Aannames!$C$5+MAX(0,MIN($N20,Aannames!$B$6)-Aannames!$B$5)*Aannames!$C$6+MAX(0,MIN($N20,Aannames!$B$7)-Aannames!$B$6)*Aannames!$C$7+MAX(0,$N20-Aannames!$B$7)*Aannames!$C$8,Aannames!$B$9)+Aannames!$B$10)</f>
        <v/>
      </c>
      <c r="P20" s="18" t="str">
        <f aca="false">IF($L20="","",IFERROR(_xlfn.SWITCH($L20,"M1",Aannames!$B$16,"M2",Aannames!$B$17,"M3",Aannames!$B$18,"M4",Aannames!$B$19),""))</f>
        <v/>
      </c>
      <c r="Q20" s="17" t="str">
        <f aca="false">IF(OR($O20="",$P20=""),"",IFERROR(_xlfn.SWITCH($L20,"M1",Aannames!$B$10,"M2",Aannames!$B$10+($O20-Aannames!$B$10)*Aannames!$B$12,"M3",Aannames!$B$10+($O20-Aannames!$B$10)*(Aannames!$B$12+Aannames!$B$13),"M4",$O20),0)+($O20-IFERROR(_xlfn.SWITCH($L20,"M1",Aannames!$B$10,"M2",Aannames!$B$10+($O20-Aannames!$B$10)*Aannames!$B$12,"M3",Aannames!$B$10+($O20-Aannames!$B$10)*(Aannames!$B$12+Aannames!$B$13),"M4",$O20),0))*$P20)</f>
        <v/>
      </c>
      <c r="U20" s="15"/>
    </row>
    <row r="21" customFormat="false" ht="15" hidden="false" customHeight="false" outlineLevel="0" collapsed="false">
      <c r="I21" s="15"/>
      <c r="N21" s="16"/>
      <c r="O21" s="17" t="str">
        <f aca="false">IF(OR($N21="",$N21=0),"",MAX(MIN($N21,Aannames!$B$5)*Aannames!$C$5+MAX(0,MIN($N21,Aannames!$B$6)-Aannames!$B$5)*Aannames!$C$6+MAX(0,MIN($N21,Aannames!$B$7)-Aannames!$B$6)*Aannames!$C$7+MAX(0,$N21-Aannames!$B$7)*Aannames!$C$8,Aannames!$B$9)+Aannames!$B$10)</f>
        <v/>
      </c>
      <c r="P21" s="18" t="str">
        <f aca="false">IF($L21="","",IFERROR(_xlfn.SWITCH($L21,"M1",Aannames!$B$16,"M2",Aannames!$B$17,"M3",Aannames!$B$18,"M4",Aannames!$B$19),""))</f>
        <v/>
      </c>
      <c r="Q21" s="17" t="str">
        <f aca="false">IF(OR($O21="",$P21=""),"",IFERROR(_xlfn.SWITCH($L21,"M1",Aannames!$B$10,"M2",Aannames!$B$10+($O21-Aannames!$B$10)*Aannames!$B$12,"M3",Aannames!$B$10+($O21-Aannames!$B$10)*(Aannames!$B$12+Aannames!$B$13),"M4",$O21),0)+($O21-IFERROR(_xlfn.SWITCH($L21,"M1",Aannames!$B$10,"M2",Aannames!$B$10+($O21-Aannames!$B$10)*Aannames!$B$12,"M3",Aannames!$B$10+($O21-Aannames!$B$10)*(Aannames!$B$12+Aannames!$B$13),"M4",$O21),0))*$P21)</f>
        <v/>
      </c>
      <c r="U21" s="15"/>
    </row>
    <row r="22" customFormat="false" ht="15" hidden="false" customHeight="false" outlineLevel="0" collapsed="false">
      <c r="I22" s="15"/>
      <c r="N22" s="16"/>
      <c r="O22" s="17" t="str">
        <f aca="false">IF(OR($N22="",$N22=0),"",MAX(MIN($N22,Aannames!$B$5)*Aannames!$C$5+MAX(0,MIN($N22,Aannames!$B$6)-Aannames!$B$5)*Aannames!$C$6+MAX(0,MIN($N22,Aannames!$B$7)-Aannames!$B$6)*Aannames!$C$7+MAX(0,$N22-Aannames!$B$7)*Aannames!$C$8,Aannames!$B$9)+Aannames!$B$10)</f>
        <v/>
      </c>
      <c r="P22" s="18" t="str">
        <f aca="false">IF($L22="","",IFERROR(_xlfn.SWITCH($L22,"M1",Aannames!$B$16,"M2",Aannames!$B$17,"M3",Aannames!$B$18,"M4",Aannames!$B$19),""))</f>
        <v/>
      </c>
      <c r="Q22" s="17" t="str">
        <f aca="false">IF(OR($O22="",$P22=""),"",IFERROR(_xlfn.SWITCH($L22,"M1",Aannames!$B$10,"M2",Aannames!$B$10+($O22-Aannames!$B$10)*Aannames!$B$12,"M3",Aannames!$B$10+($O22-Aannames!$B$10)*(Aannames!$B$12+Aannames!$B$13),"M4",$O22),0)+($O22-IFERROR(_xlfn.SWITCH($L22,"M1",Aannames!$B$10,"M2",Aannames!$B$10+($O22-Aannames!$B$10)*Aannames!$B$12,"M3",Aannames!$B$10+($O22-Aannames!$B$10)*(Aannames!$B$12+Aannames!$B$13),"M4",$O22),0))*$P22)</f>
        <v/>
      </c>
      <c r="U22" s="15"/>
    </row>
    <row r="23" customFormat="false" ht="15" hidden="false" customHeight="false" outlineLevel="0" collapsed="false">
      <c r="I23" s="15"/>
      <c r="N23" s="16"/>
      <c r="O23" s="17" t="str">
        <f aca="false">IF(OR($N23="",$N23=0),"",MAX(MIN($N23,Aannames!$B$5)*Aannames!$C$5+MAX(0,MIN($N23,Aannames!$B$6)-Aannames!$B$5)*Aannames!$C$6+MAX(0,MIN($N23,Aannames!$B$7)-Aannames!$B$6)*Aannames!$C$7+MAX(0,$N23-Aannames!$B$7)*Aannames!$C$8,Aannames!$B$9)+Aannames!$B$10)</f>
        <v/>
      </c>
      <c r="P23" s="18" t="str">
        <f aca="false">IF($L23="","",IFERROR(_xlfn.SWITCH($L23,"M1",Aannames!$B$16,"M2",Aannames!$B$17,"M3",Aannames!$B$18,"M4",Aannames!$B$19),""))</f>
        <v/>
      </c>
      <c r="Q23" s="17" t="str">
        <f aca="false">IF(OR($O23="",$P23=""),"",IFERROR(_xlfn.SWITCH($L23,"M1",Aannames!$B$10,"M2",Aannames!$B$10+($O23-Aannames!$B$10)*Aannames!$B$12,"M3",Aannames!$B$10+($O23-Aannames!$B$10)*(Aannames!$B$12+Aannames!$B$13),"M4",$O23),0)+($O23-IFERROR(_xlfn.SWITCH($L23,"M1",Aannames!$B$10,"M2",Aannames!$B$10+($O23-Aannames!$B$10)*Aannames!$B$12,"M3",Aannames!$B$10+($O23-Aannames!$B$10)*(Aannames!$B$12+Aannames!$B$13),"M4",$O23),0))*$P23)</f>
        <v/>
      </c>
      <c r="U23" s="15"/>
    </row>
    <row r="24" customFormat="false" ht="15" hidden="false" customHeight="false" outlineLevel="0" collapsed="false">
      <c r="I24" s="15"/>
      <c r="N24" s="16"/>
      <c r="O24" s="17" t="str">
        <f aca="false">IF(OR($N24="",$N24=0),"",MAX(MIN($N24,Aannames!$B$5)*Aannames!$C$5+MAX(0,MIN($N24,Aannames!$B$6)-Aannames!$B$5)*Aannames!$C$6+MAX(0,MIN($N24,Aannames!$B$7)-Aannames!$B$6)*Aannames!$C$7+MAX(0,$N24-Aannames!$B$7)*Aannames!$C$8,Aannames!$B$9)+Aannames!$B$10)</f>
        <v/>
      </c>
      <c r="P24" s="18" t="str">
        <f aca="false">IF($L24="","",IFERROR(_xlfn.SWITCH($L24,"M1",Aannames!$B$16,"M2",Aannames!$B$17,"M3",Aannames!$B$18,"M4",Aannames!$B$19),""))</f>
        <v/>
      </c>
      <c r="Q24" s="17" t="str">
        <f aca="false">IF(OR($O24="",$P24=""),"",IFERROR(_xlfn.SWITCH($L24,"M1",Aannames!$B$10,"M2",Aannames!$B$10+($O24-Aannames!$B$10)*Aannames!$B$12,"M3",Aannames!$B$10+($O24-Aannames!$B$10)*(Aannames!$B$12+Aannames!$B$13),"M4",$O24),0)+($O24-IFERROR(_xlfn.SWITCH($L24,"M1",Aannames!$B$10,"M2",Aannames!$B$10+($O24-Aannames!$B$10)*Aannames!$B$12,"M3",Aannames!$B$10+($O24-Aannames!$B$10)*(Aannames!$B$12+Aannames!$B$13),"M4",$O24),0))*$P24)</f>
        <v/>
      </c>
      <c r="U24" s="15"/>
    </row>
    <row r="25" customFormat="false" ht="15" hidden="false" customHeight="false" outlineLevel="0" collapsed="false">
      <c r="I25" s="15"/>
      <c r="N25" s="16"/>
      <c r="O25" s="17" t="str">
        <f aca="false">IF(OR($N25="",$N25=0),"",MAX(MIN($N25,Aannames!$B$5)*Aannames!$C$5+MAX(0,MIN($N25,Aannames!$B$6)-Aannames!$B$5)*Aannames!$C$6+MAX(0,MIN($N25,Aannames!$B$7)-Aannames!$B$6)*Aannames!$C$7+MAX(0,$N25-Aannames!$B$7)*Aannames!$C$8,Aannames!$B$9)+Aannames!$B$10)</f>
        <v/>
      </c>
      <c r="P25" s="18" t="str">
        <f aca="false">IF($L25="","",IFERROR(_xlfn.SWITCH($L25,"M1",Aannames!$B$16,"M2",Aannames!$B$17,"M3",Aannames!$B$18,"M4",Aannames!$B$19),""))</f>
        <v/>
      </c>
      <c r="Q25" s="17" t="str">
        <f aca="false">IF(OR($O25="",$P25=""),"",IFERROR(_xlfn.SWITCH($L25,"M1",Aannames!$B$10,"M2",Aannames!$B$10+($O25-Aannames!$B$10)*Aannames!$B$12,"M3",Aannames!$B$10+($O25-Aannames!$B$10)*(Aannames!$B$12+Aannames!$B$13),"M4",$O25),0)+($O25-IFERROR(_xlfn.SWITCH($L25,"M1",Aannames!$B$10,"M2",Aannames!$B$10+($O25-Aannames!$B$10)*Aannames!$B$12,"M3",Aannames!$B$10+($O25-Aannames!$B$10)*(Aannames!$B$12+Aannames!$B$13),"M4",$O25),0))*$P25)</f>
        <v/>
      </c>
      <c r="U25" s="15"/>
    </row>
    <row r="26" customFormat="false" ht="15" hidden="false" customHeight="false" outlineLevel="0" collapsed="false">
      <c r="I26" s="15"/>
      <c r="N26" s="16"/>
      <c r="O26" s="17" t="str">
        <f aca="false">IF(OR($N26="",$N26=0),"",MAX(MIN($N26,Aannames!$B$5)*Aannames!$C$5+MAX(0,MIN($N26,Aannames!$B$6)-Aannames!$B$5)*Aannames!$C$6+MAX(0,MIN($N26,Aannames!$B$7)-Aannames!$B$6)*Aannames!$C$7+MAX(0,$N26-Aannames!$B$7)*Aannames!$C$8,Aannames!$B$9)+Aannames!$B$10)</f>
        <v/>
      </c>
      <c r="P26" s="18" t="str">
        <f aca="false">IF($L26="","",IFERROR(_xlfn.SWITCH($L26,"M1",Aannames!$B$16,"M2",Aannames!$B$17,"M3",Aannames!$B$18,"M4",Aannames!$B$19),""))</f>
        <v/>
      </c>
      <c r="Q26" s="17" t="str">
        <f aca="false">IF(OR($O26="",$P26=""),"",IFERROR(_xlfn.SWITCH($L26,"M1",Aannames!$B$10,"M2",Aannames!$B$10+($O26-Aannames!$B$10)*Aannames!$B$12,"M3",Aannames!$B$10+($O26-Aannames!$B$10)*(Aannames!$B$12+Aannames!$B$13),"M4",$O26),0)+($O26-IFERROR(_xlfn.SWITCH($L26,"M1",Aannames!$B$10,"M2",Aannames!$B$10+($O26-Aannames!$B$10)*Aannames!$B$12,"M3",Aannames!$B$10+($O26-Aannames!$B$10)*(Aannames!$B$12+Aannames!$B$13),"M4",$O26),0))*$P26)</f>
        <v/>
      </c>
      <c r="U26" s="15"/>
    </row>
    <row r="27" customFormat="false" ht="15" hidden="false" customHeight="false" outlineLevel="0" collapsed="false">
      <c r="I27" s="15"/>
      <c r="N27" s="16"/>
      <c r="O27" s="17" t="str">
        <f aca="false">IF(OR($N27="",$N27=0),"",MAX(MIN($N27,Aannames!$B$5)*Aannames!$C$5+MAX(0,MIN($N27,Aannames!$B$6)-Aannames!$B$5)*Aannames!$C$6+MAX(0,MIN($N27,Aannames!$B$7)-Aannames!$B$6)*Aannames!$C$7+MAX(0,$N27-Aannames!$B$7)*Aannames!$C$8,Aannames!$B$9)+Aannames!$B$10)</f>
        <v/>
      </c>
      <c r="P27" s="18" t="str">
        <f aca="false">IF($L27="","",IFERROR(_xlfn.SWITCH($L27,"M1",Aannames!$B$16,"M2",Aannames!$B$17,"M3",Aannames!$B$18,"M4",Aannames!$B$19),""))</f>
        <v/>
      </c>
      <c r="Q27" s="17" t="str">
        <f aca="false">IF(OR($O27="",$P27=""),"",IFERROR(_xlfn.SWITCH($L27,"M1",Aannames!$B$10,"M2",Aannames!$B$10+($O27-Aannames!$B$10)*Aannames!$B$12,"M3",Aannames!$B$10+($O27-Aannames!$B$10)*(Aannames!$B$12+Aannames!$B$13),"M4",$O27),0)+($O27-IFERROR(_xlfn.SWITCH($L27,"M1",Aannames!$B$10,"M2",Aannames!$B$10+($O27-Aannames!$B$10)*Aannames!$B$12,"M3",Aannames!$B$10+($O27-Aannames!$B$10)*(Aannames!$B$12+Aannames!$B$13),"M4",$O27),0))*$P27)</f>
        <v/>
      </c>
      <c r="U27" s="15"/>
    </row>
    <row r="28" customFormat="false" ht="15" hidden="false" customHeight="false" outlineLevel="0" collapsed="false">
      <c r="I28" s="15"/>
      <c r="N28" s="16"/>
      <c r="O28" s="17" t="str">
        <f aca="false">IF(OR($N28="",$N28=0),"",MAX(MIN($N28,Aannames!$B$5)*Aannames!$C$5+MAX(0,MIN($N28,Aannames!$B$6)-Aannames!$B$5)*Aannames!$C$6+MAX(0,MIN($N28,Aannames!$B$7)-Aannames!$B$6)*Aannames!$C$7+MAX(0,$N28-Aannames!$B$7)*Aannames!$C$8,Aannames!$B$9)+Aannames!$B$10)</f>
        <v/>
      </c>
      <c r="P28" s="18" t="str">
        <f aca="false">IF($L28="","",IFERROR(_xlfn.SWITCH($L28,"M1",Aannames!$B$16,"M2",Aannames!$B$17,"M3",Aannames!$B$18,"M4",Aannames!$B$19),""))</f>
        <v/>
      </c>
      <c r="Q28" s="17" t="str">
        <f aca="false">IF(OR($O28="",$P28=""),"",IFERROR(_xlfn.SWITCH($L28,"M1",Aannames!$B$10,"M2",Aannames!$B$10+($O28-Aannames!$B$10)*Aannames!$B$12,"M3",Aannames!$B$10+($O28-Aannames!$B$10)*(Aannames!$B$12+Aannames!$B$13),"M4",$O28),0)+($O28-IFERROR(_xlfn.SWITCH($L28,"M1",Aannames!$B$10,"M2",Aannames!$B$10+($O28-Aannames!$B$10)*Aannames!$B$12,"M3",Aannames!$B$10+($O28-Aannames!$B$10)*(Aannames!$B$12+Aannames!$B$13),"M4",$O28),0))*$P28)</f>
        <v/>
      </c>
      <c r="U28" s="15"/>
    </row>
    <row r="29" customFormat="false" ht="15" hidden="false" customHeight="false" outlineLevel="0" collapsed="false">
      <c r="I29" s="15"/>
      <c r="N29" s="16"/>
      <c r="O29" s="17" t="str">
        <f aca="false">IF(OR($N29="",$N29=0),"",MAX(MIN($N29,Aannames!$B$5)*Aannames!$C$5+MAX(0,MIN($N29,Aannames!$B$6)-Aannames!$B$5)*Aannames!$C$6+MAX(0,MIN($N29,Aannames!$B$7)-Aannames!$B$6)*Aannames!$C$7+MAX(0,$N29-Aannames!$B$7)*Aannames!$C$8,Aannames!$B$9)+Aannames!$B$10)</f>
        <v/>
      </c>
      <c r="P29" s="18" t="str">
        <f aca="false">IF($L29="","",IFERROR(_xlfn.SWITCH($L29,"M1",Aannames!$B$16,"M2",Aannames!$B$17,"M3",Aannames!$B$18,"M4",Aannames!$B$19),""))</f>
        <v/>
      </c>
      <c r="Q29" s="17" t="str">
        <f aca="false">IF(OR($O29="",$P29=""),"",IFERROR(_xlfn.SWITCH($L29,"M1",Aannames!$B$10,"M2",Aannames!$B$10+($O29-Aannames!$B$10)*Aannames!$B$12,"M3",Aannames!$B$10+($O29-Aannames!$B$10)*(Aannames!$B$12+Aannames!$B$13),"M4",$O29),0)+($O29-IFERROR(_xlfn.SWITCH($L29,"M1",Aannames!$B$10,"M2",Aannames!$B$10+($O29-Aannames!$B$10)*Aannames!$B$12,"M3",Aannames!$B$10+($O29-Aannames!$B$10)*(Aannames!$B$12+Aannames!$B$13),"M4",$O29),0))*$P29)</f>
        <v/>
      </c>
      <c r="U29" s="15"/>
    </row>
    <row r="30" customFormat="false" ht="15" hidden="false" customHeight="false" outlineLevel="0" collapsed="false">
      <c r="I30" s="15"/>
      <c r="N30" s="16"/>
      <c r="O30" s="17" t="str">
        <f aca="false">IF(OR($N30="",$N30=0),"",MAX(MIN($N30,Aannames!$B$5)*Aannames!$C$5+MAX(0,MIN($N30,Aannames!$B$6)-Aannames!$B$5)*Aannames!$C$6+MAX(0,MIN($N30,Aannames!$B$7)-Aannames!$B$6)*Aannames!$C$7+MAX(0,$N30-Aannames!$B$7)*Aannames!$C$8,Aannames!$B$9)+Aannames!$B$10)</f>
        <v/>
      </c>
      <c r="P30" s="18" t="str">
        <f aca="false">IF($L30="","",IFERROR(_xlfn.SWITCH($L30,"M1",Aannames!$B$16,"M2",Aannames!$B$17,"M3",Aannames!$B$18,"M4",Aannames!$B$19),""))</f>
        <v/>
      </c>
      <c r="Q30" s="17" t="str">
        <f aca="false">IF(OR($O30="",$P30=""),"",IFERROR(_xlfn.SWITCH($L30,"M1",Aannames!$B$10,"M2",Aannames!$B$10+($O30-Aannames!$B$10)*Aannames!$B$12,"M3",Aannames!$B$10+($O30-Aannames!$B$10)*(Aannames!$B$12+Aannames!$B$13),"M4",$O30),0)+($O30-IFERROR(_xlfn.SWITCH($L30,"M1",Aannames!$B$10,"M2",Aannames!$B$10+($O30-Aannames!$B$10)*Aannames!$B$12,"M3",Aannames!$B$10+($O30-Aannames!$B$10)*(Aannames!$B$12+Aannames!$B$13),"M4",$O30),0))*$P30)</f>
        <v/>
      </c>
      <c r="U30" s="15"/>
    </row>
    <row r="31" customFormat="false" ht="15" hidden="false" customHeight="false" outlineLevel="0" collapsed="false">
      <c r="I31" s="15"/>
      <c r="N31" s="16"/>
      <c r="O31" s="17" t="str">
        <f aca="false">IF(OR($N31="",$N31=0),"",MAX(MIN($N31,Aannames!$B$5)*Aannames!$C$5+MAX(0,MIN($N31,Aannames!$B$6)-Aannames!$B$5)*Aannames!$C$6+MAX(0,MIN($N31,Aannames!$B$7)-Aannames!$B$6)*Aannames!$C$7+MAX(0,$N31-Aannames!$B$7)*Aannames!$C$8,Aannames!$B$9)+Aannames!$B$10)</f>
        <v/>
      </c>
      <c r="P31" s="18" t="str">
        <f aca="false">IF($L31="","",IFERROR(_xlfn.SWITCH($L31,"M1",Aannames!$B$16,"M2",Aannames!$B$17,"M3",Aannames!$B$18,"M4",Aannames!$B$19),""))</f>
        <v/>
      </c>
      <c r="Q31" s="17" t="str">
        <f aca="false">IF(OR($O31="",$P31=""),"",IFERROR(_xlfn.SWITCH($L31,"M1",Aannames!$B$10,"M2",Aannames!$B$10+($O31-Aannames!$B$10)*Aannames!$B$12,"M3",Aannames!$B$10+($O31-Aannames!$B$10)*(Aannames!$B$12+Aannames!$B$13),"M4",$O31),0)+($O31-IFERROR(_xlfn.SWITCH($L31,"M1",Aannames!$B$10,"M2",Aannames!$B$10+($O31-Aannames!$B$10)*Aannames!$B$12,"M3",Aannames!$B$10+($O31-Aannames!$B$10)*(Aannames!$B$12+Aannames!$B$13),"M4",$O31),0))*$P31)</f>
        <v/>
      </c>
      <c r="U31" s="15"/>
    </row>
    <row r="32" customFormat="false" ht="15" hidden="false" customHeight="false" outlineLevel="0" collapsed="false">
      <c r="I32" s="15"/>
      <c r="N32" s="16"/>
      <c r="O32" s="17" t="str">
        <f aca="false">IF(OR($N32="",$N32=0),"",MAX(MIN($N32,Aannames!$B$5)*Aannames!$C$5+MAX(0,MIN($N32,Aannames!$B$6)-Aannames!$B$5)*Aannames!$C$6+MAX(0,MIN($N32,Aannames!$B$7)-Aannames!$B$6)*Aannames!$C$7+MAX(0,$N32-Aannames!$B$7)*Aannames!$C$8,Aannames!$B$9)+Aannames!$B$10)</f>
        <v/>
      </c>
      <c r="P32" s="18" t="str">
        <f aca="false">IF($L32="","",IFERROR(_xlfn.SWITCH($L32,"M1",Aannames!$B$16,"M2",Aannames!$B$17,"M3",Aannames!$B$18,"M4",Aannames!$B$19),""))</f>
        <v/>
      </c>
      <c r="Q32" s="17" t="str">
        <f aca="false">IF(OR($O32="",$P32=""),"",IFERROR(_xlfn.SWITCH($L32,"M1",Aannames!$B$10,"M2",Aannames!$B$10+($O32-Aannames!$B$10)*Aannames!$B$12,"M3",Aannames!$B$10+($O32-Aannames!$B$10)*(Aannames!$B$12+Aannames!$B$13),"M4",$O32),0)+($O32-IFERROR(_xlfn.SWITCH($L32,"M1",Aannames!$B$10,"M2",Aannames!$B$10+($O32-Aannames!$B$10)*Aannames!$B$12,"M3",Aannames!$B$10+($O32-Aannames!$B$10)*(Aannames!$B$12+Aannames!$B$13),"M4",$O32),0))*$P32)</f>
        <v/>
      </c>
      <c r="U32" s="15"/>
    </row>
    <row r="33" customFormat="false" ht="15" hidden="false" customHeight="false" outlineLevel="0" collapsed="false">
      <c r="I33" s="15"/>
      <c r="N33" s="16"/>
      <c r="O33" s="17" t="str">
        <f aca="false">IF(OR($N33="",$N33=0),"",MAX(MIN($N33,Aannames!$B$5)*Aannames!$C$5+MAX(0,MIN($N33,Aannames!$B$6)-Aannames!$B$5)*Aannames!$C$6+MAX(0,MIN($N33,Aannames!$B$7)-Aannames!$B$6)*Aannames!$C$7+MAX(0,$N33-Aannames!$B$7)*Aannames!$C$8,Aannames!$B$9)+Aannames!$B$10)</f>
        <v/>
      </c>
      <c r="P33" s="18" t="str">
        <f aca="false">IF($L33="","",IFERROR(_xlfn.SWITCH($L33,"M1",Aannames!$B$16,"M2",Aannames!$B$17,"M3",Aannames!$B$18,"M4",Aannames!$B$19),""))</f>
        <v/>
      </c>
      <c r="Q33" s="17" t="str">
        <f aca="false">IF(OR($O33="",$P33=""),"",IFERROR(_xlfn.SWITCH($L33,"M1",Aannames!$B$10,"M2",Aannames!$B$10+($O33-Aannames!$B$10)*Aannames!$B$12,"M3",Aannames!$B$10+($O33-Aannames!$B$10)*(Aannames!$B$12+Aannames!$B$13),"M4",$O33),0)+($O33-IFERROR(_xlfn.SWITCH($L33,"M1",Aannames!$B$10,"M2",Aannames!$B$10+($O33-Aannames!$B$10)*Aannames!$B$12,"M3",Aannames!$B$10+($O33-Aannames!$B$10)*(Aannames!$B$12+Aannames!$B$13),"M4",$O33),0))*$P33)</f>
        <v/>
      </c>
      <c r="U33" s="15"/>
    </row>
    <row r="34" customFormat="false" ht="15" hidden="false" customHeight="false" outlineLevel="0" collapsed="false">
      <c r="I34" s="15"/>
      <c r="N34" s="16"/>
      <c r="O34" s="17" t="str">
        <f aca="false">IF(OR($N34="",$N34=0),"",MAX(MIN($N34,Aannames!$B$5)*Aannames!$C$5+MAX(0,MIN($N34,Aannames!$B$6)-Aannames!$B$5)*Aannames!$C$6+MAX(0,MIN($N34,Aannames!$B$7)-Aannames!$B$6)*Aannames!$C$7+MAX(0,$N34-Aannames!$B$7)*Aannames!$C$8,Aannames!$B$9)+Aannames!$B$10)</f>
        <v/>
      </c>
      <c r="P34" s="18" t="str">
        <f aca="false">IF($L34="","",IFERROR(_xlfn.SWITCH($L34,"M1",Aannames!$B$16,"M2",Aannames!$B$17,"M3",Aannames!$B$18,"M4",Aannames!$B$19),""))</f>
        <v/>
      </c>
      <c r="Q34" s="17" t="str">
        <f aca="false">IF(OR($O34="",$P34=""),"",IFERROR(_xlfn.SWITCH($L34,"M1",Aannames!$B$10,"M2",Aannames!$B$10+($O34-Aannames!$B$10)*Aannames!$B$12,"M3",Aannames!$B$10+($O34-Aannames!$B$10)*(Aannames!$B$12+Aannames!$B$13),"M4",$O34),0)+($O34-IFERROR(_xlfn.SWITCH($L34,"M1",Aannames!$B$10,"M2",Aannames!$B$10+($O34-Aannames!$B$10)*Aannames!$B$12,"M3",Aannames!$B$10+($O34-Aannames!$B$10)*(Aannames!$B$12+Aannames!$B$13),"M4",$O34),0))*$P34)</f>
        <v/>
      </c>
      <c r="U34" s="15"/>
    </row>
    <row r="35" customFormat="false" ht="15" hidden="false" customHeight="false" outlineLevel="0" collapsed="false">
      <c r="I35" s="15"/>
      <c r="N35" s="16"/>
      <c r="O35" s="17" t="str">
        <f aca="false">IF(OR($N35="",$N35=0),"",MAX(MIN($N35,Aannames!$B$5)*Aannames!$C$5+MAX(0,MIN($N35,Aannames!$B$6)-Aannames!$B$5)*Aannames!$C$6+MAX(0,MIN($N35,Aannames!$B$7)-Aannames!$B$6)*Aannames!$C$7+MAX(0,$N35-Aannames!$B$7)*Aannames!$C$8,Aannames!$B$9)+Aannames!$B$10)</f>
        <v/>
      </c>
      <c r="P35" s="18" t="str">
        <f aca="false">IF($L35="","",IFERROR(_xlfn.SWITCH($L35,"M1",Aannames!$B$16,"M2",Aannames!$B$17,"M3",Aannames!$B$18,"M4",Aannames!$B$19),""))</f>
        <v/>
      </c>
      <c r="Q35" s="17" t="str">
        <f aca="false">IF(OR($O35="",$P35=""),"",IFERROR(_xlfn.SWITCH($L35,"M1",Aannames!$B$10,"M2",Aannames!$B$10+($O35-Aannames!$B$10)*Aannames!$B$12,"M3",Aannames!$B$10+($O35-Aannames!$B$10)*(Aannames!$B$12+Aannames!$B$13),"M4",$O35),0)+($O35-IFERROR(_xlfn.SWITCH($L35,"M1",Aannames!$B$10,"M2",Aannames!$B$10+($O35-Aannames!$B$10)*Aannames!$B$12,"M3",Aannames!$B$10+($O35-Aannames!$B$10)*(Aannames!$B$12+Aannames!$B$13),"M4",$O35),0))*$P35)</f>
        <v/>
      </c>
      <c r="U35" s="15"/>
    </row>
    <row r="36" customFormat="false" ht="15" hidden="false" customHeight="false" outlineLevel="0" collapsed="false">
      <c r="I36" s="15"/>
      <c r="N36" s="16"/>
      <c r="O36" s="17" t="str">
        <f aca="false">IF(OR($N36="",$N36=0),"",MAX(MIN($N36,Aannames!$B$5)*Aannames!$C$5+MAX(0,MIN($N36,Aannames!$B$6)-Aannames!$B$5)*Aannames!$C$6+MAX(0,MIN($N36,Aannames!$B$7)-Aannames!$B$6)*Aannames!$C$7+MAX(0,$N36-Aannames!$B$7)*Aannames!$C$8,Aannames!$B$9)+Aannames!$B$10)</f>
        <v/>
      </c>
      <c r="P36" s="18" t="str">
        <f aca="false">IF($L36="","",IFERROR(_xlfn.SWITCH($L36,"M1",Aannames!$B$16,"M2",Aannames!$B$17,"M3",Aannames!$B$18,"M4",Aannames!$B$19),""))</f>
        <v/>
      </c>
      <c r="Q36" s="17" t="str">
        <f aca="false">IF(OR($O36="",$P36=""),"",IFERROR(_xlfn.SWITCH($L36,"M1",Aannames!$B$10,"M2",Aannames!$B$10+($O36-Aannames!$B$10)*Aannames!$B$12,"M3",Aannames!$B$10+($O36-Aannames!$B$10)*(Aannames!$B$12+Aannames!$B$13),"M4",$O36),0)+($O36-IFERROR(_xlfn.SWITCH($L36,"M1",Aannames!$B$10,"M2",Aannames!$B$10+($O36-Aannames!$B$10)*Aannames!$B$12,"M3",Aannames!$B$10+($O36-Aannames!$B$10)*(Aannames!$B$12+Aannames!$B$13),"M4",$O36),0))*$P36)</f>
        <v/>
      </c>
      <c r="U36" s="15"/>
    </row>
    <row r="37" customFormat="false" ht="15" hidden="false" customHeight="false" outlineLevel="0" collapsed="false">
      <c r="I37" s="15"/>
      <c r="N37" s="16"/>
      <c r="O37" s="17" t="str">
        <f aca="false">IF(OR($N37="",$N37=0),"",MAX(MIN($N37,Aannames!$B$5)*Aannames!$C$5+MAX(0,MIN($N37,Aannames!$B$6)-Aannames!$B$5)*Aannames!$C$6+MAX(0,MIN($N37,Aannames!$B$7)-Aannames!$B$6)*Aannames!$C$7+MAX(0,$N37-Aannames!$B$7)*Aannames!$C$8,Aannames!$B$9)+Aannames!$B$10)</f>
        <v/>
      </c>
      <c r="P37" s="18" t="str">
        <f aca="false">IF($L37="","",IFERROR(_xlfn.SWITCH($L37,"M1",Aannames!$B$16,"M2",Aannames!$B$17,"M3",Aannames!$B$18,"M4",Aannames!$B$19),""))</f>
        <v/>
      </c>
      <c r="Q37" s="17" t="str">
        <f aca="false">IF(OR($O37="",$P37=""),"",IFERROR(_xlfn.SWITCH($L37,"M1",Aannames!$B$10,"M2",Aannames!$B$10+($O37-Aannames!$B$10)*Aannames!$B$12,"M3",Aannames!$B$10+($O37-Aannames!$B$10)*(Aannames!$B$12+Aannames!$B$13),"M4",$O37),0)+($O37-IFERROR(_xlfn.SWITCH($L37,"M1",Aannames!$B$10,"M2",Aannames!$B$10+($O37-Aannames!$B$10)*Aannames!$B$12,"M3",Aannames!$B$10+($O37-Aannames!$B$10)*(Aannames!$B$12+Aannames!$B$13),"M4",$O37),0))*$P37)</f>
        <v/>
      </c>
      <c r="U37" s="15"/>
    </row>
    <row r="38" customFormat="false" ht="15" hidden="false" customHeight="false" outlineLevel="0" collapsed="false">
      <c r="I38" s="15"/>
      <c r="N38" s="16"/>
      <c r="O38" s="17" t="str">
        <f aca="false">IF(OR($N38="",$N38=0),"",MAX(MIN($N38,Aannames!$B$5)*Aannames!$C$5+MAX(0,MIN($N38,Aannames!$B$6)-Aannames!$B$5)*Aannames!$C$6+MAX(0,MIN($N38,Aannames!$B$7)-Aannames!$B$6)*Aannames!$C$7+MAX(0,$N38-Aannames!$B$7)*Aannames!$C$8,Aannames!$B$9)+Aannames!$B$10)</f>
        <v/>
      </c>
      <c r="P38" s="18" t="str">
        <f aca="false">IF($L38="","",IFERROR(_xlfn.SWITCH($L38,"M1",Aannames!$B$16,"M2",Aannames!$B$17,"M3",Aannames!$B$18,"M4",Aannames!$B$19),""))</f>
        <v/>
      </c>
      <c r="Q38" s="17" t="str">
        <f aca="false">IF(OR($O38="",$P38=""),"",IFERROR(_xlfn.SWITCH($L38,"M1",Aannames!$B$10,"M2",Aannames!$B$10+($O38-Aannames!$B$10)*Aannames!$B$12,"M3",Aannames!$B$10+($O38-Aannames!$B$10)*(Aannames!$B$12+Aannames!$B$13),"M4",$O38),0)+($O38-IFERROR(_xlfn.SWITCH($L38,"M1",Aannames!$B$10,"M2",Aannames!$B$10+($O38-Aannames!$B$10)*Aannames!$B$12,"M3",Aannames!$B$10+($O38-Aannames!$B$10)*(Aannames!$B$12+Aannames!$B$13),"M4",$O38),0))*$P38)</f>
        <v/>
      </c>
      <c r="U38" s="15"/>
    </row>
    <row r="39" customFormat="false" ht="15" hidden="false" customHeight="false" outlineLevel="0" collapsed="false">
      <c r="I39" s="15"/>
      <c r="N39" s="16"/>
      <c r="O39" s="17" t="str">
        <f aca="false">IF(OR($N39="",$N39=0),"",MAX(MIN($N39,Aannames!$B$5)*Aannames!$C$5+MAX(0,MIN($N39,Aannames!$B$6)-Aannames!$B$5)*Aannames!$C$6+MAX(0,MIN($N39,Aannames!$B$7)-Aannames!$B$6)*Aannames!$C$7+MAX(0,$N39-Aannames!$B$7)*Aannames!$C$8,Aannames!$B$9)+Aannames!$B$10)</f>
        <v/>
      </c>
      <c r="P39" s="18" t="str">
        <f aca="false">IF($L39="","",IFERROR(_xlfn.SWITCH($L39,"M1",Aannames!$B$16,"M2",Aannames!$B$17,"M3",Aannames!$B$18,"M4",Aannames!$B$19),""))</f>
        <v/>
      </c>
      <c r="Q39" s="17" t="str">
        <f aca="false">IF(OR($O39="",$P39=""),"",IFERROR(_xlfn.SWITCH($L39,"M1",Aannames!$B$10,"M2",Aannames!$B$10+($O39-Aannames!$B$10)*Aannames!$B$12,"M3",Aannames!$B$10+($O39-Aannames!$B$10)*(Aannames!$B$12+Aannames!$B$13),"M4",$O39),0)+($O39-IFERROR(_xlfn.SWITCH($L39,"M1",Aannames!$B$10,"M2",Aannames!$B$10+($O39-Aannames!$B$10)*Aannames!$B$12,"M3",Aannames!$B$10+($O39-Aannames!$B$10)*(Aannames!$B$12+Aannames!$B$13),"M4",$O39),0))*$P39)</f>
        <v/>
      </c>
      <c r="U39" s="15"/>
    </row>
    <row r="40" customFormat="false" ht="15" hidden="false" customHeight="false" outlineLevel="0" collapsed="false">
      <c r="I40" s="15"/>
      <c r="N40" s="16"/>
      <c r="O40" s="17" t="str">
        <f aca="false">IF(OR($N40="",$N40=0),"",MAX(MIN($N40,Aannames!$B$5)*Aannames!$C$5+MAX(0,MIN($N40,Aannames!$B$6)-Aannames!$B$5)*Aannames!$C$6+MAX(0,MIN($N40,Aannames!$B$7)-Aannames!$B$6)*Aannames!$C$7+MAX(0,$N40-Aannames!$B$7)*Aannames!$C$8,Aannames!$B$9)+Aannames!$B$10)</f>
        <v/>
      </c>
      <c r="P40" s="18" t="str">
        <f aca="false">IF($L40="","",IFERROR(_xlfn.SWITCH($L40,"M1",Aannames!$B$16,"M2",Aannames!$B$17,"M3",Aannames!$B$18,"M4",Aannames!$B$19),""))</f>
        <v/>
      </c>
      <c r="Q40" s="17" t="str">
        <f aca="false">IF(OR($O40="",$P40=""),"",IFERROR(_xlfn.SWITCH($L40,"M1",Aannames!$B$10,"M2",Aannames!$B$10+($O40-Aannames!$B$10)*Aannames!$B$12,"M3",Aannames!$B$10+($O40-Aannames!$B$10)*(Aannames!$B$12+Aannames!$B$13),"M4",$O40),0)+($O40-IFERROR(_xlfn.SWITCH($L40,"M1",Aannames!$B$10,"M2",Aannames!$B$10+($O40-Aannames!$B$10)*Aannames!$B$12,"M3",Aannames!$B$10+($O40-Aannames!$B$10)*(Aannames!$B$12+Aannames!$B$13),"M4",$O40),0))*$P40)</f>
        <v/>
      </c>
      <c r="U40" s="15"/>
    </row>
    <row r="41" customFormat="false" ht="15" hidden="false" customHeight="false" outlineLevel="0" collapsed="false">
      <c r="I41" s="15"/>
      <c r="N41" s="16"/>
      <c r="O41" s="17" t="str">
        <f aca="false">IF(OR($N41="",$N41=0),"",MAX(MIN($N41,Aannames!$B$5)*Aannames!$C$5+MAX(0,MIN($N41,Aannames!$B$6)-Aannames!$B$5)*Aannames!$C$6+MAX(0,MIN($N41,Aannames!$B$7)-Aannames!$B$6)*Aannames!$C$7+MAX(0,$N41-Aannames!$B$7)*Aannames!$C$8,Aannames!$B$9)+Aannames!$B$10)</f>
        <v/>
      </c>
      <c r="P41" s="18" t="str">
        <f aca="false">IF($L41="","",IFERROR(_xlfn.SWITCH($L41,"M1",Aannames!$B$16,"M2",Aannames!$B$17,"M3",Aannames!$B$18,"M4",Aannames!$B$19),""))</f>
        <v/>
      </c>
      <c r="Q41" s="17" t="str">
        <f aca="false">IF(OR($O41="",$P41=""),"",IFERROR(_xlfn.SWITCH($L41,"M1",Aannames!$B$10,"M2",Aannames!$B$10+($O41-Aannames!$B$10)*Aannames!$B$12,"M3",Aannames!$B$10+($O41-Aannames!$B$10)*(Aannames!$B$12+Aannames!$B$13),"M4",$O41),0)+($O41-IFERROR(_xlfn.SWITCH($L41,"M1",Aannames!$B$10,"M2",Aannames!$B$10+($O41-Aannames!$B$10)*Aannames!$B$12,"M3",Aannames!$B$10+($O41-Aannames!$B$10)*(Aannames!$B$12+Aannames!$B$13),"M4",$O41),0))*$P41)</f>
        <v/>
      </c>
      <c r="U41" s="15"/>
    </row>
    <row r="42" customFormat="false" ht="15" hidden="false" customHeight="false" outlineLevel="0" collapsed="false">
      <c r="I42" s="15"/>
      <c r="N42" s="16"/>
      <c r="O42" s="17" t="str">
        <f aca="false">IF(OR($N42="",$N42=0),"",MAX(MIN($N42,Aannames!$B$5)*Aannames!$C$5+MAX(0,MIN($N42,Aannames!$B$6)-Aannames!$B$5)*Aannames!$C$6+MAX(0,MIN($N42,Aannames!$B$7)-Aannames!$B$6)*Aannames!$C$7+MAX(0,$N42-Aannames!$B$7)*Aannames!$C$8,Aannames!$B$9)+Aannames!$B$10)</f>
        <v/>
      </c>
      <c r="P42" s="18" t="str">
        <f aca="false">IF($L42="","",IFERROR(_xlfn.SWITCH($L42,"M1",Aannames!$B$16,"M2",Aannames!$B$17,"M3",Aannames!$B$18,"M4",Aannames!$B$19),""))</f>
        <v/>
      </c>
      <c r="Q42" s="17" t="str">
        <f aca="false">IF(OR($O42="",$P42=""),"",IFERROR(_xlfn.SWITCH($L42,"M1",Aannames!$B$10,"M2",Aannames!$B$10+($O42-Aannames!$B$10)*Aannames!$B$12,"M3",Aannames!$B$10+($O42-Aannames!$B$10)*(Aannames!$B$12+Aannames!$B$13),"M4",$O42),0)+($O42-IFERROR(_xlfn.SWITCH($L42,"M1",Aannames!$B$10,"M2",Aannames!$B$10+($O42-Aannames!$B$10)*Aannames!$B$12,"M3",Aannames!$B$10+($O42-Aannames!$B$10)*(Aannames!$B$12+Aannames!$B$13),"M4",$O42),0))*$P42)</f>
        <v/>
      </c>
      <c r="U42" s="15"/>
    </row>
    <row r="43" customFormat="false" ht="15" hidden="false" customHeight="false" outlineLevel="0" collapsed="false">
      <c r="I43" s="15"/>
      <c r="N43" s="16"/>
      <c r="O43" s="17" t="str">
        <f aca="false">IF(OR($N43="",$N43=0),"",MAX(MIN($N43,Aannames!$B$5)*Aannames!$C$5+MAX(0,MIN($N43,Aannames!$B$6)-Aannames!$B$5)*Aannames!$C$6+MAX(0,MIN($N43,Aannames!$B$7)-Aannames!$B$6)*Aannames!$C$7+MAX(0,$N43-Aannames!$B$7)*Aannames!$C$8,Aannames!$B$9)+Aannames!$B$10)</f>
        <v/>
      </c>
      <c r="P43" s="18" t="str">
        <f aca="false">IF($L43="","",IFERROR(_xlfn.SWITCH($L43,"M1",Aannames!$B$16,"M2",Aannames!$B$17,"M3",Aannames!$B$18,"M4",Aannames!$B$19),""))</f>
        <v/>
      </c>
      <c r="Q43" s="17" t="str">
        <f aca="false">IF(OR($O43="",$P43=""),"",IFERROR(_xlfn.SWITCH($L43,"M1",Aannames!$B$10,"M2",Aannames!$B$10+($O43-Aannames!$B$10)*Aannames!$B$12,"M3",Aannames!$B$10+($O43-Aannames!$B$10)*(Aannames!$B$12+Aannames!$B$13),"M4",$O43),0)+($O43-IFERROR(_xlfn.SWITCH($L43,"M1",Aannames!$B$10,"M2",Aannames!$B$10+($O43-Aannames!$B$10)*Aannames!$B$12,"M3",Aannames!$B$10+($O43-Aannames!$B$10)*(Aannames!$B$12+Aannames!$B$13),"M4",$O43),0))*$P43)</f>
        <v/>
      </c>
      <c r="U43" s="15"/>
    </row>
    <row r="44" customFormat="false" ht="15" hidden="false" customHeight="false" outlineLevel="0" collapsed="false">
      <c r="I44" s="15"/>
      <c r="N44" s="16"/>
      <c r="O44" s="17" t="str">
        <f aca="false">IF(OR($N44="",$N44=0),"",MAX(MIN($N44,Aannames!$B$5)*Aannames!$C$5+MAX(0,MIN($N44,Aannames!$B$6)-Aannames!$B$5)*Aannames!$C$6+MAX(0,MIN($N44,Aannames!$B$7)-Aannames!$B$6)*Aannames!$C$7+MAX(0,$N44-Aannames!$B$7)*Aannames!$C$8,Aannames!$B$9)+Aannames!$B$10)</f>
        <v/>
      </c>
      <c r="P44" s="18" t="str">
        <f aca="false">IF($L44="","",IFERROR(_xlfn.SWITCH($L44,"M1",Aannames!$B$16,"M2",Aannames!$B$17,"M3",Aannames!$B$18,"M4",Aannames!$B$19),""))</f>
        <v/>
      </c>
      <c r="Q44" s="17" t="str">
        <f aca="false">IF(OR($O44="",$P44=""),"",IFERROR(_xlfn.SWITCH($L44,"M1",Aannames!$B$10,"M2",Aannames!$B$10+($O44-Aannames!$B$10)*Aannames!$B$12,"M3",Aannames!$B$10+($O44-Aannames!$B$10)*(Aannames!$B$12+Aannames!$B$13),"M4",$O44),0)+($O44-IFERROR(_xlfn.SWITCH($L44,"M1",Aannames!$B$10,"M2",Aannames!$B$10+($O44-Aannames!$B$10)*Aannames!$B$12,"M3",Aannames!$B$10+($O44-Aannames!$B$10)*(Aannames!$B$12+Aannames!$B$13),"M4",$O44),0))*$P44)</f>
        <v/>
      </c>
      <c r="U44" s="15"/>
    </row>
    <row r="45" customFormat="false" ht="15" hidden="false" customHeight="false" outlineLevel="0" collapsed="false">
      <c r="I45" s="15"/>
      <c r="N45" s="16"/>
      <c r="O45" s="17" t="str">
        <f aca="false">IF(OR($N45="",$N45=0),"",MAX(MIN($N45,Aannames!$B$5)*Aannames!$C$5+MAX(0,MIN($N45,Aannames!$B$6)-Aannames!$B$5)*Aannames!$C$6+MAX(0,MIN($N45,Aannames!$B$7)-Aannames!$B$6)*Aannames!$C$7+MAX(0,$N45-Aannames!$B$7)*Aannames!$C$8,Aannames!$B$9)+Aannames!$B$10)</f>
        <v/>
      </c>
      <c r="P45" s="18" t="str">
        <f aca="false">IF($L45="","",IFERROR(_xlfn.SWITCH($L45,"M1",Aannames!$B$16,"M2",Aannames!$B$17,"M3",Aannames!$B$18,"M4",Aannames!$B$19),""))</f>
        <v/>
      </c>
      <c r="Q45" s="17" t="str">
        <f aca="false">IF(OR($O45="",$P45=""),"",IFERROR(_xlfn.SWITCH($L45,"M1",Aannames!$B$10,"M2",Aannames!$B$10+($O45-Aannames!$B$10)*Aannames!$B$12,"M3",Aannames!$B$10+($O45-Aannames!$B$10)*(Aannames!$B$12+Aannames!$B$13),"M4",$O45),0)+($O45-IFERROR(_xlfn.SWITCH($L45,"M1",Aannames!$B$10,"M2",Aannames!$B$10+($O45-Aannames!$B$10)*Aannames!$B$12,"M3",Aannames!$B$10+($O45-Aannames!$B$10)*(Aannames!$B$12+Aannames!$B$13),"M4",$O45),0))*$P45)</f>
        <v/>
      </c>
      <c r="U45" s="15"/>
    </row>
    <row r="46" customFormat="false" ht="15" hidden="false" customHeight="false" outlineLevel="0" collapsed="false">
      <c r="I46" s="15"/>
      <c r="N46" s="16"/>
      <c r="O46" s="17" t="str">
        <f aca="false">IF(OR($N46="",$N46=0),"",MAX(MIN($N46,Aannames!$B$5)*Aannames!$C$5+MAX(0,MIN($N46,Aannames!$B$6)-Aannames!$B$5)*Aannames!$C$6+MAX(0,MIN($N46,Aannames!$B$7)-Aannames!$B$6)*Aannames!$C$7+MAX(0,$N46-Aannames!$B$7)*Aannames!$C$8,Aannames!$B$9)+Aannames!$B$10)</f>
        <v/>
      </c>
      <c r="P46" s="18" t="str">
        <f aca="false">IF($L46="","",IFERROR(_xlfn.SWITCH($L46,"M1",Aannames!$B$16,"M2",Aannames!$B$17,"M3",Aannames!$B$18,"M4",Aannames!$B$19),""))</f>
        <v/>
      </c>
      <c r="Q46" s="17" t="str">
        <f aca="false">IF(OR($O46="",$P46=""),"",IFERROR(_xlfn.SWITCH($L46,"M1",Aannames!$B$10,"M2",Aannames!$B$10+($O46-Aannames!$B$10)*Aannames!$B$12,"M3",Aannames!$B$10+($O46-Aannames!$B$10)*(Aannames!$B$12+Aannames!$B$13),"M4",$O46),0)+($O46-IFERROR(_xlfn.SWITCH($L46,"M1",Aannames!$B$10,"M2",Aannames!$B$10+($O46-Aannames!$B$10)*Aannames!$B$12,"M3",Aannames!$B$10+($O46-Aannames!$B$10)*(Aannames!$B$12+Aannames!$B$13),"M4",$O46),0))*$P46)</f>
        <v/>
      </c>
      <c r="U46" s="15"/>
    </row>
    <row r="47" customFormat="false" ht="15" hidden="false" customHeight="false" outlineLevel="0" collapsed="false">
      <c r="I47" s="15"/>
      <c r="N47" s="16"/>
      <c r="O47" s="17" t="str">
        <f aca="false">IF(OR($N47="",$N47=0),"",MAX(MIN($N47,Aannames!$B$5)*Aannames!$C$5+MAX(0,MIN($N47,Aannames!$B$6)-Aannames!$B$5)*Aannames!$C$6+MAX(0,MIN($N47,Aannames!$B$7)-Aannames!$B$6)*Aannames!$C$7+MAX(0,$N47-Aannames!$B$7)*Aannames!$C$8,Aannames!$B$9)+Aannames!$B$10)</f>
        <v/>
      </c>
      <c r="P47" s="18" t="str">
        <f aca="false">IF($L47="","",IFERROR(_xlfn.SWITCH($L47,"M1",Aannames!$B$16,"M2",Aannames!$B$17,"M3",Aannames!$B$18,"M4",Aannames!$B$19),""))</f>
        <v/>
      </c>
      <c r="Q47" s="17" t="str">
        <f aca="false">IF(OR($O47="",$P47=""),"",IFERROR(_xlfn.SWITCH($L47,"M1",Aannames!$B$10,"M2",Aannames!$B$10+($O47-Aannames!$B$10)*Aannames!$B$12,"M3",Aannames!$B$10+($O47-Aannames!$B$10)*(Aannames!$B$12+Aannames!$B$13),"M4",$O47),0)+($O47-IFERROR(_xlfn.SWITCH($L47,"M1",Aannames!$B$10,"M2",Aannames!$B$10+($O47-Aannames!$B$10)*Aannames!$B$12,"M3",Aannames!$B$10+($O47-Aannames!$B$10)*(Aannames!$B$12+Aannames!$B$13),"M4",$O47),0))*$P47)</f>
        <v/>
      </c>
      <c r="U47" s="15"/>
    </row>
    <row r="48" customFormat="false" ht="15" hidden="false" customHeight="false" outlineLevel="0" collapsed="false">
      <c r="I48" s="15"/>
      <c r="N48" s="16"/>
      <c r="O48" s="17" t="str">
        <f aca="false">IF(OR($N48="",$N48=0),"",MAX(MIN($N48,Aannames!$B$5)*Aannames!$C$5+MAX(0,MIN($N48,Aannames!$B$6)-Aannames!$B$5)*Aannames!$C$6+MAX(0,MIN($N48,Aannames!$B$7)-Aannames!$B$6)*Aannames!$C$7+MAX(0,$N48-Aannames!$B$7)*Aannames!$C$8,Aannames!$B$9)+Aannames!$B$10)</f>
        <v/>
      </c>
      <c r="P48" s="18" t="str">
        <f aca="false">IF($L48="","",IFERROR(_xlfn.SWITCH($L48,"M1",Aannames!$B$16,"M2",Aannames!$B$17,"M3",Aannames!$B$18,"M4",Aannames!$B$19),""))</f>
        <v/>
      </c>
      <c r="Q48" s="17" t="str">
        <f aca="false">IF(OR($O48="",$P48=""),"",IFERROR(_xlfn.SWITCH($L48,"M1",Aannames!$B$10,"M2",Aannames!$B$10+($O48-Aannames!$B$10)*Aannames!$B$12,"M3",Aannames!$B$10+($O48-Aannames!$B$10)*(Aannames!$B$12+Aannames!$B$13),"M4",$O48),0)+($O48-IFERROR(_xlfn.SWITCH($L48,"M1",Aannames!$B$10,"M2",Aannames!$B$10+($O48-Aannames!$B$10)*Aannames!$B$12,"M3",Aannames!$B$10+($O48-Aannames!$B$10)*(Aannames!$B$12+Aannames!$B$13),"M4",$O48),0))*$P48)</f>
        <v/>
      </c>
      <c r="U48" s="15"/>
    </row>
    <row r="49" customFormat="false" ht="15" hidden="false" customHeight="false" outlineLevel="0" collapsed="false">
      <c r="I49" s="15"/>
      <c r="N49" s="16"/>
      <c r="O49" s="17" t="str">
        <f aca="false">IF(OR($N49="",$N49=0),"",MAX(MIN($N49,Aannames!$B$5)*Aannames!$C$5+MAX(0,MIN($N49,Aannames!$B$6)-Aannames!$B$5)*Aannames!$C$6+MAX(0,MIN($N49,Aannames!$B$7)-Aannames!$B$6)*Aannames!$C$7+MAX(0,$N49-Aannames!$B$7)*Aannames!$C$8,Aannames!$B$9)+Aannames!$B$10)</f>
        <v/>
      </c>
      <c r="P49" s="18" t="str">
        <f aca="false">IF($L49="","",IFERROR(_xlfn.SWITCH($L49,"M1",Aannames!$B$16,"M2",Aannames!$B$17,"M3",Aannames!$B$18,"M4",Aannames!$B$19),""))</f>
        <v/>
      </c>
      <c r="Q49" s="17" t="str">
        <f aca="false">IF(OR($O49="",$P49=""),"",IFERROR(_xlfn.SWITCH($L49,"M1",Aannames!$B$10,"M2",Aannames!$B$10+($O49-Aannames!$B$10)*Aannames!$B$12,"M3",Aannames!$B$10+($O49-Aannames!$B$10)*(Aannames!$B$12+Aannames!$B$13),"M4",$O49),0)+($O49-IFERROR(_xlfn.SWITCH($L49,"M1",Aannames!$B$10,"M2",Aannames!$B$10+($O49-Aannames!$B$10)*Aannames!$B$12,"M3",Aannames!$B$10+($O49-Aannames!$B$10)*(Aannames!$B$12+Aannames!$B$13),"M4",$O49),0))*$P49)</f>
        <v/>
      </c>
      <c r="U49" s="15"/>
    </row>
    <row r="50" customFormat="false" ht="15" hidden="false" customHeight="false" outlineLevel="0" collapsed="false">
      <c r="I50" s="15"/>
      <c r="N50" s="16"/>
      <c r="O50" s="17" t="str">
        <f aca="false">IF(OR($N50="",$N50=0),"",MAX(MIN($N50,Aannames!$B$5)*Aannames!$C$5+MAX(0,MIN($N50,Aannames!$B$6)-Aannames!$B$5)*Aannames!$C$6+MAX(0,MIN($N50,Aannames!$B$7)-Aannames!$B$6)*Aannames!$C$7+MAX(0,$N50-Aannames!$B$7)*Aannames!$C$8,Aannames!$B$9)+Aannames!$B$10)</f>
        <v/>
      </c>
      <c r="P50" s="18" t="str">
        <f aca="false">IF($L50="","",IFERROR(_xlfn.SWITCH($L50,"M1",Aannames!$B$16,"M2",Aannames!$B$17,"M3",Aannames!$B$18,"M4",Aannames!$B$19),""))</f>
        <v/>
      </c>
      <c r="Q50" s="17" t="str">
        <f aca="false">IF(OR($O50="",$P50=""),"",IFERROR(_xlfn.SWITCH($L50,"M1",Aannames!$B$10,"M2",Aannames!$B$10+($O50-Aannames!$B$10)*Aannames!$B$12,"M3",Aannames!$B$10+($O50-Aannames!$B$10)*(Aannames!$B$12+Aannames!$B$13),"M4",$O50),0)+($O50-IFERROR(_xlfn.SWITCH($L50,"M1",Aannames!$B$10,"M2",Aannames!$B$10+($O50-Aannames!$B$10)*Aannames!$B$12,"M3",Aannames!$B$10+($O50-Aannames!$B$10)*(Aannames!$B$12+Aannames!$B$13),"M4",$O50),0))*$P50)</f>
        <v/>
      </c>
      <c r="U50" s="15"/>
    </row>
    <row r="51" customFormat="false" ht="15" hidden="false" customHeight="false" outlineLevel="0" collapsed="false">
      <c r="I51" s="15"/>
      <c r="N51" s="16"/>
      <c r="O51" s="17" t="str">
        <f aca="false">IF(OR($N51="",$N51=0),"",MAX(MIN($N51,Aannames!$B$5)*Aannames!$C$5+MAX(0,MIN($N51,Aannames!$B$6)-Aannames!$B$5)*Aannames!$C$6+MAX(0,MIN($N51,Aannames!$B$7)-Aannames!$B$6)*Aannames!$C$7+MAX(0,$N51-Aannames!$B$7)*Aannames!$C$8,Aannames!$B$9)+Aannames!$B$10)</f>
        <v/>
      </c>
      <c r="P51" s="18" t="str">
        <f aca="false">IF($L51="","",IFERROR(_xlfn.SWITCH($L51,"M1",Aannames!$B$16,"M2",Aannames!$B$17,"M3",Aannames!$B$18,"M4",Aannames!$B$19),""))</f>
        <v/>
      </c>
      <c r="Q51" s="17" t="str">
        <f aca="false">IF(OR($O51="",$P51=""),"",IFERROR(_xlfn.SWITCH($L51,"M1",Aannames!$B$10,"M2",Aannames!$B$10+($O51-Aannames!$B$10)*Aannames!$B$12,"M3",Aannames!$B$10+($O51-Aannames!$B$10)*(Aannames!$B$12+Aannames!$B$13),"M4",$O51),0)+($O51-IFERROR(_xlfn.SWITCH($L51,"M1",Aannames!$B$10,"M2",Aannames!$B$10+($O51-Aannames!$B$10)*Aannames!$B$12,"M3",Aannames!$B$10+($O51-Aannames!$B$10)*(Aannames!$B$12+Aannames!$B$13),"M4",$O51),0))*$P51)</f>
        <v/>
      </c>
      <c r="U51" s="15"/>
    </row>
    <row r="52" customFormat="false" ht="15" hidden="false" customHeight="false" outlineLevel="0" collapsed="false">
      <c r="I52" s="15"/>
      <c r="N52" s="16"/>
      <c r="O52" s="17" t="str">
        <f aca="false">IF(OR($N52="",$N52=0),"",MAX(MIN($N52,Aannames!$B$5)*Aannames!$C$5+MAX(0,MIN($N52,Aannames!$B$6)-Aannames!$B$5)*Aannames!$C$6+MAX(0,MIN($N52,Aannames!$B$7)-Aannames!$B$6)*Aannames!$C$7+MAX(0,$N52-Aannames!$B$7)*Aannames!$C$8,Aannames!$B$9)+Aannames!$B$10)</f>
        <v/>
      </c>
      <c r="P52" s="18" t="str">
        <f aca="false">IF($L52="","",IFERROR(_xlfn.SWITCH($L52,"M1",Aannames!$B$16,"M2",Aannames!$B$17,"M3",Aannames!$B$18,"M4",Aannames!$B$19),""))</f>
        <v/>
      </c>
      <c r="Q52" s="17" t="str">
        <f aca="false">IF(OR($O52="",$P52=""),"",IFERROR(_xlfn.SWITCH($L52,"M1",Aannames!$B$10,"M2",Aannames!$B$10+($O52-Aannames!$B$10)*Aannames!$B$12,"M3",Aannames!$B$10+($O52-Aannames!$B$10)*(Aannames!$B$12+Aannames!$B$13),"M4",$O52),0)+($O52-IFERROR(_xlfn.SWITCH($L52,"M1",Aannames!$B$10,"M2",Aannames!$B$10+($O52-Aannames!$B$10)*Aannames!$B$12,"M3",Aannames!$B$10+($O52-Aannames!$B$10)*(Aannames!$B$12+Aannames!$B$13),"M4",$O52),0))*$P52)</f>
        <v/>
      </c>
      <c r="U52" s="15"/>
    </row>
    <row r="53" customFormat="false" ht="15" hidden="false" customHeight="false" outlineLevel="0" collapsed="false">
      <c r="I53" s="15"/>
      <c r="N53" s="16"/>
      <c r="O53" s="17" t="str">
        <f aca="false">IF(OR($N53="",$N53=0),"",MAX(MIN($N53,Aannames!$B$5)*Aannames!$C$5+MAX(0,MIN($N53,Aannames!$B$6)-Aannames!$B$5)*Aannames!$C$6+MAX(0,MIN($N53,Aannames!$B$7)-Aannames!$B$6)*Aannames!$C$7+MAX(0,$N53-Aannames!$B$7)*Aannames!$C$8,Aannames!$B$9)+Aannames!$B$10)</f>
        <v/>
      </c>
      <c r="P53" s="18" t="str">
        <f aca="false">IF($L53="","",IFERROR(_xlfn.SWITCH($L53,"M1",Aannames!$B$16,"M2",Aannames!$B$17,"M3",Aannames!$B$18,"M4",Aannames!$B$19),""))</f>
        <v/>
      </c>
      <c r="Q53" s="17" t="str">
        <f aca="false">IF(OR($O53="",$P53=""),"",IFERROR(_xlfn.SWITCH($L53,"M1",Aannames!$B$10,"M2",Aannames!$B$10+($O53-Aannames!$B$10)*Aannames!$B$12,"M3",Aannames!$B$10+($O53-Aannames!$B$10)*(Aannames!$B$12+Aannames!$B$13),"M4",$O53),0)+($O53-IFERROR(_xlfn.SWITCH($L53,"M1",Aannames!$B$10,"M2",Aannames!$B$10+($O53-Aannames!$B$10)*Aannames!$B$12,"M3",Aannames!$B$10+($O53-Aannames!$B$10)*(Aannames!$B$12+Aannames!$B$13),"M4",$O53),0))*$P53)</f>
        <v/>
      </c>
      <c r="U53" s="15"/>
    </row>
    <row r="54" customFormat="false" ht="15" hidden="false" customHeight="false" outlineLevel="0" collapsed="false">
      <c r="I54" s="15"/>
      <c r="N54" s="16"/>
      <c r="O54" s="17" t="str">
        <f aca="false">IF(OR($N54="",$N54=0),"",MAX(MIN($N54,Aannames!$B$5)*Aannames!$C$5+MAX(0,MIN($N54,Aannames!$B$6)-Aannames!$B$5)*Aannames!$C$6+MAX(0,MIN($N54,Aannames!$B$7)-Aannames!$B$6)*Aannames!$C$7+MAX(0,$N54-Aannames!$B$7)*Aannames!$C$8,Aannames!$B$9)+Aannames!$B$10)</f>
        <v/>
      </c>
      <c r="P54" s="18" t="str">
        <f aca="false">IF($L54="","",IFERROR(_xlfn.SWITCH($L54,"M1",Aannames!$B$16,"M2",Aannames!$B$17,"M3",Aannames!$B$18,"M4",Aannames!$B$19),""))</f>
        <v/>
      </c>
      <c r="Q54" s="17" t="str">
        <f aca="false">IF(OR($O54="",$P54=""),"",IFERROR(_xlfn.SWITCH($L54,"M1",Aannames!$B$10,"M2",Aannames!$B$10+($O54-Aannames!$B$10)*Aannames!$B$12,"M3",Aannames!$B$10+($O54-Aannames!$B$10)*(Aannames!$B$12+Aannames!$B$13),"M4",$O54),0)+($O54-IFERROR(_xlfn.SWITCH($L54,"M1",Aannames!$B$10,"M2",Aannames!$B$10+($O54-Aannames!$B$10)*Aannames!$B$12,"M3",Aannames!$B$10+($O54-Aannames!$B$10)*(Aannames!$B$12+Aannames!$B$13),"M4",$O54),0))*$P54)</f>
        <v/>
      </c>
      <c r="U54" s="15"/>
    </row>
    <row r="55" customFormat="false" ht="15" hidden="false" customHeight="false" outlineLevel="0" collapsed="false">
      <c r="I55" s="15"/>
      <c r="N55" s="16"/>
      <c r="O55" s="17" t="str">
        <f aca="false">IF(OR($N55="",$N55=0),"",MAX(MIN($N55,Aannames!$B$5)*Aannames!$C$5+MAX(0,MIN($N55,Aannames!$B$6)-Aannames!$B$5)*Aannames!$C$6+MAX(0,MIN($N55,Aannames!$B$7)-Aannames!$B$6)*Aannames!$C$7+MAX(0,$N55-Aannames!$B$7)*Aannames!$C$8,Aannames!$B$9)+Aannames!$B$10)</f>
        <v/>
      </c>
      <c r="P55" s="18" t="str">
        <f aca="false">IF($L55="","",IFERROR(_xlfn.SWITCH($L55,"M1",Aannames!$B$16,"M2",Aannames!$B$17,"M3",Aannames!$B$18,"M4",Aannames!$B$19),""))</f>
        <v/>
      </c>
      <c r="Q55" s="17" t="str">
        <f aca="false">IF(OR($O55="",$P55=""),"",IFERROR(_xlfn.SWITCH($L55,"M1",Aannames!$B$10,"M2",Aannames!$B$10+($O55-Aannames!$B$10)*Aannames!$B$12,"M3",Aannames!$B$10+($O55-Aannames!$B$10)*(Aannames!$B$12+Aannames!$B$13),"M4",$O55),0)+($O55-IFERROR(_xlfn.SWITCH($L55,"M1",Aannames!$B$10,"M2",Aannames!$B$10+($O55-Aannames!$B$10)*Aannames!$B$12,"M3",Aannames!$B$10+($O55-Aannames!$B$10)*(Aannames!$B$12+Aannames!$B$13),"M4",$O55),0))*$P55)</f>
        <v/>
      </c>
      <c r="U55" s="15"/>
    </row>
    <row r="56" customFormat="false" ht="15" hidden="false" customHeight="false" outlineLevel="0" collapsed="false">
      <c r="I56" s="15"/>
      <c r="N56" s="16"/>
      <c r="O56" s="17" t="str">
        <f aca="false">IF(OR($N56="",$N56=0),"",MAX(MIN($N56,Aannames!$B$5)*Aannames!$C$5+MAX(0,MIN($N56,Aannames!$B$6)-Aannames!$B$5)*Aannames!$C$6+MAX(0,MIN($N56,Aannames!$B$7)-Aannames!$B$6)*Aannames!$C$7+MAX(0,$N56-Aannames!$B$7)*Aannames!$C$8,Aannames!$B$9)+Aannames!$B$10)</f>
        <v/>
      </c>
      <c r="P56" s="18" t="str">
        <f aca="false">IF($L56="","",IFERROR(_xlfn.SWITCH($L56,"M1",Aannames!$B$16,"M2",Aannames!$B$17,"M3",Aannames!$B$18,"M4",Aannames!$B$19),""))</f>
        <v/>
      </c>
      <c r="Q56" s="17" t="str">
        <f aca="false">IF(OR($O56="",$P56=""),"",IFERROR(_xlfn.SWITCH($L56,"M1",Aannames!$B$10,"M2",Aannames!$B$10+($O56-Aannames!$B$10)*Aannames!$B$12,"M3",Aannames!$B$10+($O56-Aannames!$B$10)*(Aannames!$B$12+Aannames!$B$13),"M4",$O56),0)+($O56-IFERROR(_xlfn.SWITCH($L56,"M1",Aannames!$B$10,"M2",Aannames!$B$10+($O56-Aannames!$B$10)*Aannames!$B$12,"M3",Aannames!$B$10+($O56-Aannames!$B$10)*(Aannames!$B$12+Aannames!$B$13),"M4",$O56),0))*$P56)</f>
        <v/>
      </c>
      <c r="U56" s="15"/>
    </row>
    <row r="57" customFormat="false" ht="15" hidden="false" customHeight="false" outlineLevel="0" collapsed="false">
      <c r="I57" s="15"/>
      <c r="N57" s="16"/>
      <c r="O57" s="17" t="str">
        <f aca="false">IF(OR($N57="",$N57=0),"",MAX(MIN($N57,Aannames!$B$5)*Aannames!$C$5+MAX(0,MIN($N57,Aannames!$B$6)-Aannames!$B$5)*Aannames!$C$6+MAX(0,MIN($N57,Aannames!$B$7)-Aannames!$B$6)*Aannames!$C$7+MAX(0,$N57-Aannames!$B$7)*Aannames!$C$8,Aannames!$B$9)+Aannames!$B$10)</f>
        <v/>
      </c>
      <c r="P57" s="18" t="str">
        <f aca="false">IF($L57="","",IFERROR(_xlfn.SWITCH($L57,"M1",Aannames!$B$16,"M2",Aannames!$B$17,"M3",Aannames!$B$18,"M4",Aannames!$B$19),""))</f>
        <v/>
      </c>
      <c r="Q57" s="17" t="str">
        <f aca="false">IF(OR($O57="",$P57=""),"",IFERROR(_xlfn.SWITCH($L57,"M1",Aannames!$B$10,"M2",Aannames!$B$10+($O57-Aannames!$B$10)*Aannames!$B$12,"M3",Aannames!$B$10+($O57-Aannames!$B$10)*(Aannames!$B$12+Aannames!$B$13),"M4",$O57),0)+($O57-IFERROR(_xlfn.SWITCH($L57,"M1",Aannames!$B$10,"M2",Aannames!$B$10+($O57-Aannames!$B$10)*Aannames!$B$12,"M3",Aannames!$B$10+($O57-Aannames!$B$10)*(Aannames!$B$12+Aannames!$B$13),"M4",$O57),0))*$P57)</f>
        <v/>
      </c>
      <c r="U57" s="15"/>
    </row>
    <row r="58" customFormat="false" ht="15" hidden="false" customHeight="false" outlineLevel="0" collapsed="false">
      <c r="I58" s="15"/>
      <c r="N58" s="16"/>
      <c r="O58" s="17" t="str">
        <f aca="false">IF(OR($N58="",$N58=0),"",MAX(MIN($N58,Aannames!$B$5)*Aannames!$C$5+MAX(0,MIN($N58,Aannames!$B$6)-Aannames!$B$5)*Aannames!$C$6+MAX(0,MIN($N58,Aannames!$B$7)-Aannames!$B$6)*Aannames!$C$7+MAX(0,$N58-Aannames!$B$7)*Aannames!$C$8,Aannames!$B$9)+Aannames!$B$10)</f>
        <v/>
      </c>
      <c r="P58" s="18" t="str">
        <f aca="false">IF($L58="","",IFERROR(_xlfn.SWITCH($L58,"M1",Aannames!$B$16,"M2",Aannames!$B$17,"M3",Aannames!$B$18,"M4",Aannames!$B$19),""))</f>
        <v/>
      </c>
      <c r="Q58" s="17" t="str">
        <f aca="false">IF(OR($O58="",$P58=""),"",IFERROR(_xlfn.SWITCH($L58,"M1",Aannames!$B$10,"M2",Aannames!$B$10+($O58-Aannames!$B$10)*Aannames!$B$12,"M3",Aannames!$B$10+($O58-Aannames!$B$10)*(Aannames!$B$12+Aannames!$B$13),"M4",$O58),0)+($O58-IFERROR(_xlfn.SWITCH($L58,"M1",Aannames!$B$10,"M2",Aannames!$B$10+($O58-Aannames!$B$10)*Aannames!$B$12,"M3",Aannames!$B$10+($O58-Aannames!$B$10)*(Aannames!$B$12+Aannames!$B$13),"M4",$O58),0))*$P58)</f>
        <v/>
      </c>
      <c r="U58" s="15"/>
    </row>
    <row r="59" customFormat="false" ht="15" hidden="false" customHeight="false" outlineLevel="0" collapsed="false">
      <c r="I59" s="15"/>
      <c r="N59" s="16"/>
      <c r="O59" s="17" t="str">
        <f aca="false">IF(OR($N59="",$N59=0),"",MAX(MIN($N59,Aannames!$B$5)*Aannames!$C$5+MAX(0,MIN($N59,Aannames!$B$6)-Aannames!$B$5)*Aannames!$C$6+MAX(0,MIN($N59,Aannames!$B$7)-Aannames!$B$6)*Aannames!$C$7+MAX(0,$N59-Aannames!$B$7)*Aannames!$C$8,Aannames!$B$9)+Aannames!$B$10)</f>
        <v/>
      </c>
      <c r="P59" s="18" t="str">
        <f aca="false">IF($L59="","",IFERROR(_xlfn.SWITCH($L59,"M1",Aannames!$B$16,"M2",Aannames!$B$17,"M3",Aannames!$B$18,"M4",Aannames!$B$19),""))</f>
        <v/>
      </c>
      <c r="Q59" s="17" t="str">
        <f aca="false">IF(OR($O59="",$P59=""),"",IFERROR(_xlfn.SWITCH($L59,"M1",Aannames!$B$10,"M2",Aannames!$B$10+($O59-Aannames!$B$10)*Aannames!$B$12,"M3",Aannames!$B$10+($O59-Aannames!$B$10)*(Aannames!$B$12+Aannames!$B$13),"M4",$O59),0)+($O59-IFERROR(_xlfn.SWITCH($L59,"M1",Aannames!$B$10,"M2",Aannames!$B$10+($O59-Aannames!$B$10)*Aannames!$B$12,"M3",Aannames!$B$10+($O59-Aannames!$B$10)*(Aannames!$B$12+Aannames!$B$13),"M4",$O59),0))*$P59)</f>
        <v/>
      </c>
      <c r="U59" s="15"/>
    </row>
    <row r="60" customFormat="false" ht="15" hidden="false" customHeight="false" outlineLevel="0" collapsed="false">
      <c r="I60" s="15"/>
      <c r="N60" s="16"/>
      <c r="O60" s="17" t="str">
        <f aca="false">IF(OR($N60="",$N60=0),"",MAX(MIN($N60,Aannames!$B$5)*Aannames!$C$5+MAX(0,MIN($N60,Aannames!$B$6)-Aannames!$B$5)*Aannames!$C$6+MAX(0,MIN($N60,Aannames!$B$7)-Aannames!$B$6)*Aannames!$C$7+MAX(0,$N60-Aannames!$B$7)*Aannames!$C$8,Aannames!$B$9)+Aannames!$B$10)</f>
        <v/>
      </c>
      <c r="P60" s="18" t="str">
        <f aca="false">IF($L60="","",IFERROR(_xlfn.SWITCH($L60,"M1",Aannames!$B$16,"M2",Aannames!$B$17,"M3",Aannames!$B$18,"M4",Aannames!$B$19),""))</f>
        <v/>
      </c>
      <c r="Q60" s="17" t="str">
        <f aca="false">IF(OR($O60="",$P60=""),"",IFERROR(_xlfn.SWITCH($L60,"M1",Aannames!$B$10,"M2",Aannames!$B$10+($O60-Aannames!$B$10)*Aannames!$B$12,"M3",Aannames!$B$10+($O60-Aannames!$B$10)*(Aannames!$B$12+Aannames!$B$13),"M4",$O60),0)+($O60-IFERROR(_xlfn.SWITCH($L60,"M1",Aannames!$B$10,"M2",Aannames!$B$10+($O60-Aannames!$B$10)*Aannames!$B$12,"M3",Aannames!$B$10+($O60-Aannames!$B$10)*(Aannames!$B$12+Aannames!$B$13),"M4",$O60),0))*$P60)</f>
        <v/>
      </c>
      <c r="U60" s="15"/>
    </row>
    <row r="61" customFormat="false" ht="15" hidden="false" customHeight="false" outlineLevel="0" collapsed="false">
      <c r="I61" s="15"/>
      <c r="N61" s="16"/>
      <c r="O61" s="17" t="str">
        <f aca="false">IF(OR($N61="",$N61=0),"",MAX(MIN($N61,Aannames!$B$5)*Aannames!$C$5+MAX(0,MIN($N61,Aannames!$B$6)-Aannames!$B$5)*Aannames!$C$6+MAX(0,MIN($N61,Aannames!$B$7)-Aannames!$B$6)*Aannames!$C$7+MAX(0,$N61-Aannames!$B$7)*Aannames!$C$8,Aannames!$B$9)+Aannames!$B$10)</f>
        <v/>
      </c>
      <c r="P61" s="18" t="str">
        <f aca="false">IF($L61="","",IFERROR(_xlfn.SWITCH($L61,"M1",Aannames!$B$16,"M2",Aannames!$B$17,"M3",Aannames!$B$18,"M4",Aannames!$B$19),""))</f>
        <v/>
      </c>
      <c r="Q61" s="17" t="str">
        <f aca="false">IF(OR($O61="",$P61=""),"",IFERROR(_xlfn.SWITCH($L61,"M1",Aannames!$B$10,"M2",Aannames!$B$10+($O61-Aannames!$B$10)*Aannames!$B$12,"M3",Aannames!$B$10+($O61-Aannames!$B$10)*(Aannames!$B$12+Aannames!$B$13),"M4",$O61),0)+($O61-IFERROR(_xlfn.SWITCH($L61,"M1",Aannames!$B$10,"M2",Aannames!$B$10+($O61-Aannames!$B$10)*Aannames!$B$12,"M3",Aannames!$B$10+($O61-Aannames!$B$10)*(Aannames!$B$12+Aannames!$B$13),"M4",$O61),0))*$P61)</f>
        <v/>
      </c>
      <c r="U61" s="15"/>
    </row>
    <row r="62" customFormat="false" ht="15" hidden="false" customHeight="false" outlineLevel="0" collapsed="false">
      <c r="I62" s="15"/>
      <c r="N62" s="16"/>
      <c r="O62" s="17" t="str">
        <f aca="false">IF(OR($N62="",$N62=0),"",MAX(MIN($N62,Aannames!$B$5)*Aannames!$C$5+MAX(0,MIN($N62,Aannames!$B$6)-Aannames!$B$5)*Aannames!$C$6+MAX(0,MIN($N62,Aannames!$B$7)-Aannames!$B$6)*Aannames!$C$7+MAX(0,$N62-Aannames!$B$7)*Aannames!$C$8,Aannames!$B$9)+Aannames!$B$10)</f>
        <v/>
      </c>
      <c r="P62" s="18" t="str">
        <f aca="false">IF($L62="","",IFERROR(_xlfn.SWITCH($L62,"M1",Aannames!$B$16,"M2",Aannames!$B$17,"M3",Aannames!$B$18,"M4",Aannames!$B$19),""))</f>
        <v/>
      </c>
      <c r="Q62" s="17" t="str">
        <f aca="false">IF(OR($O62="",$P62=""),"",IFERROR(_xlfn.SWITCH($L62,"M1",Aannames!$B$10,"M2",Aannames!$B$10+($O62-Aannames!$B$10)*Aannames!$B$12,"M3",Aannames!$B$10+($O62-Aannames!$B$10)*(Aannames!$B$12+Aannames!$B$13),"M4",$O62),0)+($O62-IFERROR(_xlfn.SWITCH($L62,"M1",Aannames!$B$10,"M2",Aannames!$B$10+($O62-Aannames!$B$10)*Aannames!$B$12,"M3",Aannames!$B$10+($O62-Aannames!$B$10)*(Aannames!$B$12+Aannames!$B$13),"M4",$O62),0))*$P62)</f>
        <v/>
      </c>
      <c r="U62" s="15"/>
    </row>
    <row r="63" customFormat="false" ht="15" hidden="false" customHeight="false" outlineLevel="0" collapsed="false">
      <c r="I63" s="15"/>
      <c r="N63" s="16"/>
      <c r="O63" s="17" t="str">
        <f aca="false">IF(OR($N63="",$N63=0),"",MAX(MIN($N63,Aannames!$B$5)*Aannames!$C$5+MAX(0,MIN($N63,Aannames!$B$6)-Aannames!$B$5)*Aannames!$C$6+MAX(0,MIN($N63,Aannames!$B$7)-Aannames!$B$6)*Aannames!$C$7+MAX(0,$N63-Aannames!$B$7)*Aannames!$C$8,Aannames!$B$9)+Aannames!$B$10)</f>
        <v/>
      </c>
      <c r="P63" s="18" t="str">
        <f aca="false">IF($L63="","",IFERROR(_xlfn.SWITCH($L63,"M1",Aannames!$B$16,"M2",Aannames!$B$17,"M3",Aannames!$B$18,"M4",Aannames!$B$19),""))</f>
        <v/>
      </c>
      <c r="Q63" s="17" t="str">
        <f aca="false">IF(OR($O63="",$P63=""),"",IFERROR(_xlfn.SWITCH($L63,"M1",Aannames!$B$10,"M2",Aannames!$B$10+($O63-Aannames!$B$10)*Aannames!$B$12,"M3",Aannames!$B$10+($O63-Aannames!$B$10)*(Aannames!$B$12+Aannames!$B$13),"M4",$O63),0)+($O63-IFERROR(_xlfn.SWITCH($L63,"M1",Aannames!$B$10,"M2",Aannames!$B$10+($O63-Aannames!$B$10)*Aannames!$B$12,"M3",Aannames!$B$10+($O63-Aannames!$B$10)*(Aannames!$B$12+Aannames!$B$13),"M4",$O63),0))*$P63)</f>
        <v/>
      </c>
      <c r="U63" s="15"/>
    </row>
    <row r="64" customFormat="false" ht="15" hidden="false" customHeight="false" outlineLevel="0" collapsed="false">
      <c r="I64" s="15"/>
      <c r="N64" s="16"/>
      <c r="O64" s="17" t="str">
        <f aca="false">IF(OR($N64="",$N64=0),"",MAX(MIN($N64,Aannames!$B$5)*Aannames!$C$5+MAX(0,MIN($N64,Aannames!$B$6)-Aannames!$B$5)*Aannames!$C$6+MAX(0,MIN($N64,Aannames!$B$7)-Aannames!$B$6)*Aannames!$C$7+MAX(0,$N64-Aannames!$B$7)*Aannames!$C$8,Aannames!$B$9)+Aannames!$B$10)</f>
        <v/>
      </c>
      <c r="P64" s="18" t="str">
        <f aca="false">IF($L64="","",IFERROR(_xlfn.SWITCH($L64,"M1",Aannames!$B$16,"M2",Aannames!$B$17,"M3",Aannames!$B$18,"M4",Aannames!$B$19),""))</f>
        <v/>
      </c>
      <c r="Q64" s="17" t="str">
        <f aca="false">IF(OR($O64="",$P64=""),"",IFERROR(_xlfn.SWITCH($L64,"M1",Aannames!$B$10,"M2",Aannames!$B$10+($O64-Aannames!$B$10)*Aannames!$B$12,"M3",Aannames!$B$10+($O64-Aannames!$B$10)*(Aannames!$B$12+Aannames!$B$13),"M4",$O64),0)+($O64-IFERROR(_xlfn.SWITCH($L64,"M1",Aannames!$B$10,"M2",Aannames!$B$10+($O64-Aannames!$B$10)*Aannames!$B$12,"M3",Aannames!$B$10+($O64-Aannames!$B$10)*(Aannames!$B$12+Aannames!$B$13),"M4",$O64),0))*$P64)</f>
        <v/>
      </c>
      <c r="U64" s="15"/>
    </row>
    <row r="65" customFormat="false" ht="15" hidden="false" customHeight="false" outlineLevel="0" collapsed="false">
      <c r="I65" s="15"/>
      <c r="N65" s="16"/>
      <c r="O65" s="17" t="str">
        <f aca="false">IF(OR($N65="",$N65=0),"",MAX(MIN($N65,Aannames!$B$5)*Aannames!$C$5+MAX(0,MIN($N65,Aannames!$B$6)-Aannames!$B$5)*Aannames!$C$6+MAX(0,MIN($N65,Aannames!$B$7)-Aannames!$B$6)*Aannames!$C$7+MAX(0,$N65-Aannames!$B$7)*Aannames!$C$8,Aannames!$B$9)+Aannames!$B$10)</f>
        <v/>
      </c>
      <c r="P65" s="18" t="str">
        <f aca="false">IF($L65="","",IFERROR(_xlfn.SWITCH($L65,"M1",Aannames!$B$16,"M2",Aannames!$B$17,"M3",Aannames!$B$18,"M4",Aannames!$B$19),""))</f>
        <v/>
      </c>
      <c r="Q65" s="17" t="str">
        <f aca="false">IF(OR($O65="",$P65=""),"",IFERROR(_xlfn.SWITCH($L65,"M1",Aannames!$B$10,"M2",Aannames!$B$10+($O65-Aannames!$B$10)*Aannames!$B$12,"M3",Aannames!$B$10+($O65-Aannames!$B$10)*(Aannames!$B$12+Aannames!$B$13),"M4",$O65),0)+($O65-IFERROR(_xlfn.SWITCH($L65,"M1",Aannames!$B$10,"M2",Aannames!$B$10+($O65-Aannames!$B$10)*Aannames!$B$12,"M3",Aannames!$B$10+($O65-Aannames!$B$10)*(Aannames!$B$12+Aannames!$B$13),"M4",$O65),0))*$P65)</f>
        <v/>
      </c>
      <c r="U65" s="15"/>
    </row>
    <row r="66" customFormat="false" ht="15" hidden="false" customHeight="false" outlineLevel="0" collapsed="false">
      <c r="I66" s="15"/>
      <c r="N66" s="16"/>
      <c r="O66" s="17" t="str">
        <f aca="false">IF(OR($N66="",$N66=0),"",MAX(MIN($N66,Aannames!$B$5)*Aannames!$C$5+MAX(0,MIN($N66,Aannames!$B$6)-Aannames!$B$5)*Aannames!$C$6+MAX(0,MIN($N66,Aannames!$B$7)-Aannames!$B$6)*Aannames!$C$7+MAX(0,$N66-Aannames!$B$7)*Aannames!$C$8,Aannames!$B$9)+Aannames!$B$10)</f>
        <v/>
      </c>
      <c r="P66" s="18" t="str">
        <f aca="false">IF($L66="","",IFERROR(_xlfn.SWITCH($L66,"M1",Aannames!$B$16,"M2",Aannames!$B$17,"M3",Aannames!$B$18,"M4",Aannames!$B$19),""))</f>
        <v/>
      </c>
      <c r="Q66" s="17" t="str">
        <f aca="false">IF(OR($O66="",$P66=""),"",IFERROR(_xlfn.SWITCH($L66,"M1",Aannames!$B$10,"M2",Aannames!$B$10+($O66-Aannames!$B$10)*Aannames!$B$12,"M3",Aannames!$B$10+($O66-Aannames!$B$10)*(Aannames!$B$12+Aannames!$B$13),"M4",$O66),0)+($O66-IFERROR(_xlfn.SWITCH($L66,"M1",Aannames!$B$10,"M2",Aannames!$B$10+($O66-Aannames!$B$10)*Aannames!$B$12,"M3",Aannames!$B$10+($O66-Aannames!$B$10)*(Aannames!$B$12+Aannames!$B$13),"M4",$O66),0))*$P66)</f>
        <v/>
      </c>
      <c r="U66" s="15"/>
    </row>
    <row r="67" customFormat="false" ht="15" hidden="false" customHeight="false" outlineLevel="0" collapsed="false">
      <c r="I67" s="15"/>
      <c r="N67" s="16"/>
      <c r="O67" s="17" t="str">
        <f aca="false">IF(OR($N67="",$N67=0),"",MAX(MIN($N67,Aannames!$B$5)*Aannames!$C$5+MAX(0,MIN($N67,Aannames!$B$6)-Aannames!$B$5)*Aannames!$C$6+MAX(0,MIN($N67,Aannames!$B$7)-Aannames!$B$6)*Aannames!$C$7+MAX(0,$N67-Aannames!$B$7)*Aannames!$C$8,Aannames!$B$9)+Aannames!$B$10)</f>
        <v/>
      </c>
      <c r="P67" s="18" t="str">
        <f aca="false">IF($L67="","",IFERROR(_xlfn.SWITCH($L67,"M1",Aannames!$B$16,"M2",Aannames!$B$17,"M3",Aannames!$B$18,"M4",Aannames!$B$19),""))</f>
        <v/>
      </c>
      <c r="Q67" s="17" t="str">
        <f aca="false">IF(OR($O67="",$P67=""),"",IFERROR(_xlfn.SWITCH($L67,"M1",Aannames!$B$10,"M2",Aannames!$B$10+($O67-Aannames!$B$10)*Aannames!$B$12,"M3",Aannames!$B$10+($O67-Aannames!$B$10)*(Aannames!$B$12+Aannames!$B$13),"M4",$O67),0)+($O67-IFERROR(_xlfn.SWITCH($L67,"M1",Aannames!$B$10,"M2",Aannames!$B$10+($O67-Aannames!$B$10)*Aannames!$B$12,"M3",Aannames!$B$10+($O67-Aannames!$B$10)*(Aannames!$B$12+Aannames!$B$13),"M4",$O67),0))*$P67)</f>
        <v/>
      </c>
      <c r="U67" s="15"/>
    </row>
    <row r="68" customFormat="false" ht="15" hidden="false" customHeight="false" outlineLevel="0" collapsed="false">
      <c r="I68" s="15"/>
      <c r="N68" s="16"/>
      <c r="O68" s="17" t="str">
        <f aca="false">IF(OR($N68="",$N68=0),"",MAX(MIN($N68,Aannames!$B$5)*Aannames!$C$5+MAX(0,MIN($N68,Aannames!$B$6)-Aannames!$B$5)*Aannames!$C$6+MAX(0,MIN($N68,Aannames!$B$7)-Aannames!$B$6)*Aannames!$C$7+MAX(0,$N68-Aannames!$B$7)*Aannames!$C$8,Aannames!$B$9)+Aannames!$B$10)</f>
        <v/>
      </c>
      <c r="P68" s="18" t="str">
        <f aca="false">IF($L68="","",IFERROR(_xlfn.SWITCH($L68,"M1",Aannames!$B$16,"M2",Aannames!$B$17,"M3",Aannames!$B$18,"M4",Aannames!$B$19),""))</f>
        <v/>
      </c>
      <c r="Q68" s="17" t="str">
        <f aca="false">IF(OR($O68="",$P68=""),"",IFERROR(_xlfn.SWITCH($L68,"M1",Aannames!$B$10,"M2",Aannames!$B$10+($O68-Aannames!$B$10)*Aannames!$B$12,"M3",Aannames!$B$10+($O68-Aannames!$B$10)*(Aannames!$B$12+Aannames!$B$13),"M4",$O68),0)+($O68-IFERROR(_xlfn.SWITCH($L68,"M1",Aannames!$B$10,"M2",Aannames!$B$10+($O68-Aannames!$B$10)*Aannames!$B$12,"M3",Aannames!$B$10+($O68-Aannames!$B$10)*(Aannames!$B$12+Aannames!$B$13),"M4",$O68),0))*$P68)</f>
        <v/>
      </c>
      <c r="U68" s="15"/>
    </row>
    <row r="69" customFormat="false" ht="15" hidden="false" customHeight="false" outlineLevel="0" collapsed="false">
      <c r="I69" s="15"/>
      <c r="N69" s="16"/>
      <c r="O69" s="17" t="str">
        <f aca="false">IF(OR($N69="",$N69=0),"",MAX(MIN($N69,Aannames!$B$5)*Aannames!$C$5+MAX(0,MIN($N69,Aannames!$B$6)-Aannames!$B$5)*Aannames!$C$6+MAX(0,MIN($N69,Aannames!$B$7)-Aannames!$B$6)*Aannames!$C$7+MAX(0,$N69-Aannames!$B$7)*Aannames!$C$8,Aannames!$B$9)+Aannames!$B$10)</f>
        <v/>
      </c>
      <c r="P69" s="18" t="str">
        <f aca="false">IF($L69="","",IFERROR(_xlfn.SWITCH($L69,"M1",Aannames!$B$16,"M2",Aannames!$B$17,"M3",Aannames!$B$18,"M4",Aannames!$B$19),""))</f>
        <v/>
      </c>
      <c r="Q69" s="17" t="str">
        <f aca="false">IF(OR($O69="",$P69=""),"",IFERROR(_xlfn.SWITCH($L69,"M1",Aannames!$B$10,"M2",Aannames!$B$10+($O69-Aannames!$B$10)*Aannames!$B$12,"M3",Aannames!$B$10+($O69-Aannames!$B$10)*(Aannames!$B$12+Aannames!$B$13),"M4",$O69),0)+($O69-IFERROR(_xlfn.SWITCH($L69,"M1",Aannames!$B$10,"M2",Aannames!$B$10+($O69-Aannames!$B$10)*Aannames!$B$12,"M3",Aannames!$B$10+($O69-Aannames!$B$10)*(Aannames!$B$12+Aannames!$B$13),"M4",$O69),0))*$P69)</f>
        <v/>
      </c>
      <c r="U69" s="15"/>
    </row>
    <row r="70" customFormat="false" ht="15" hidden="false" customHeight="false" outlineLevel="0" collapsed="false">
      <c r="I70" s="15"/>
      <c r="N70" s="16"/>
      <c r="O70" s="17" t="str">
        <f aca="false">IF(OR($N70="",$N70=0),"",MAX(MIN($N70,Aannames!$B$5)*Aannames!$C$5+MAX(0,MIN($N70,Aannames!$B$6)-Aannames!$B$5)*Aannames!$C$6+MAX(0,MIN($N70,Aannames!$B$7)-Aannames!$B$6)*Aannames!$C$7+MAX(0,$N70-Aannames!$B$7)*Aannames!$C$8,Aannames!$B$9)+Aannames!$B$10)</f>
        <v/>
      </c>
      <c r="P70" s="18" t="str">
        <f aca="false">IF($L70="","",IFERROR(_xlfn.SWITCH($L70,"M1",Aannames!$B$16,"M2",Aannames!$B$17,"M3",Aannames!$B$18,"M4",Aannames!$B$19),""))</f>
        <v/>
      </c>
      <c r="Q70" s="17" t="str">
        <f aca="false">IF(OR($O70="",$P70=""),"",IFERROR(_xlfn.SWITCH($L70,"M1",Aannames!$B$10,"M2",Aannames!$B$10+($O70-Aannames!$B$10)*Aannames!$B$12,"M3",Aannames!$B$10+($O70-Aannames!$B$10)*(Aannames!$B$12+Aannames!$B$13),"M4",$O70),0)+($O70-IFERROR(_xlfn.SWITCH($L70,"M1",Aannames!$B$10,"M2",Aannames!$B$10+($O70-Aannames!$B$10)*Aannames!$B$12,"M3",Aannames!$B$10+($O70-Aannames!$B$10)*(Aannames!$B$12+Aannames!$B$13),"M4",$O70),0))*$P70)</f>
        <v/>
      </c>
      <c r="U70" s="15"/>
    </row>
    <row r="71" customFormat="false" ht="15" hidden="false" customHeight="false" outlineLevel="0" collapsed="false">
      <c r="I71" s="15"/>
      <c r="N71" s="16"/>
      <c r="O71" s="17" t="str">
        <f aca="false">IF(OR($N71="",$N71=0),"",MAX(MIN($N71,Aannames!$B$5)*Aannames!$C$5+MAX(0,MIN($N71,Aannames!$B$6)-Aannames!$B$5)*Aannames!$C$6+MAX(0,MIN($N71,Aannames!$B$7)-Aannames!$B$6)*Aannames!$C$7+MAX(0,$N71-Aannames!$B$7)*Aannames!$C$8,Aannames!$B$9)+Aannames!$B$10)</f>
        <v/>
      </c>
      <c r="P71" s="18" t="str">
        <f aca="false">IF($L71="","",IFERROR(_xlfn.SWITCH($L71,"M1",Aannames!$B$16,"M2",Aannames!$B$17,"M3",Aannames!$B$18,"M4",Aannames!$B$19),""))</f>
        <v/>
      </c>
      <c r="Q71" s="17" t="str">
        <f aca="false">IF(OR($O71="",$P71=""),"",IFERROR(_xlfn.SWITCH($L71,"M1",Aannames!$B$10,"M2",Aannames!$B$10+($O71-Aannames!$B$10)*Aannames!$B$12,"M3",Aannames!$B$10+($O71-Aannames!$B$10)*(Aannames!$B$12+Aannames!$B$13),"M4",$O71),0)+($O71-IFERROR(_xlfn.SWITCH($L71,"M1",Aannames!$B$10,"M2",Aannames!$B$10+($O71-Aannames!$B$10)*Aannames!$B$12,"M3",Aannames!$B$10+($O71-Aannames!$B$10)*(Aannames!$B$12+Aannames!$B$13),"M4",$O71),0))*$P71)</f>
        <v/>
      </c>
      <c r="U71" s="15"/>
    </row>
    <row r="72" customFormat="false" ht="15" hidden="false" customHeight="false" outlineLevel="0" collapsed="false">
      <c r="I72" s="15"/>
      <c r="N72" s="16"/>
      <c r="O72" s="17" t="str">
        <f aca="false">IF(OR($N72="",$N72=0),"",MAX(MIN($N72,Aannames!$B$5)*Aannames!$C$5+MAX(0,MIN($N72,Aannames!$B$6)-Aannames!$B$5)*Aannames!$C$6+MAX(0,MIN($N72,Aannames!$B$7)-Aannames!$B$6)*Aannames!$C$7+MAX(0,$N72-Aannames!$B$7)*Aannames!$C$8,Aannames!$B$9)+Aannames!$B$10)</f>
        <v/>
      </c>
      <c r="P72" s="18" t="str">
        <f aca="false">IF($L72="","",IFERROR(_xlfn.SWITCH($L72,"M1",Aannames!$B$16,"M2",Aannames!$B$17,"M3",Aannames!$B$18,"M4",Aannames!$B$19),""))</f>
        <v/>
      </c>
      <c r="Q72" s="17" t="str">
        <f aca="false">IF(OR($O72="",$P72=""),"",IFERROR(_xlfn.SWITCH($L72,"M1",Aannames!$B$10,"M2",Aannames!$B$10+($O72-Aannames!$B$10)*Aannames!$B$12,"M3",Aannames!$B$10+($O72-Aannames!$B$10)*(Aannames!$B$12+Aannames!$B$13),"M4",$O72),0)+($O72-IFERROR(_xlfn.SWITCH($L72,"M1",Aannames!$B$10,"M2",Aannames!$B$10+($O72-Aannames!$B$10)*Aannames!$B$12,"M3",Aannames!$B$10+($O72-Aannames!$B$10)*(Aannames!$B$12+Aannames!$B$13),"M4",$O72),0))*$P72)</f>
        <v/>
      </c>
      <c r="U72" s="15"/>
    </row>
    <row r="73" customFormat="false" ht="15" hidden="false" customHeight="false" outlineLevel="0" collapsed="false">
      <c r="I73" s="15"/>
      <c r="N73" s="16"/>
      <c r="O73" s="17" t="str">
        <f aca="false">IF(OR($N73="",$N73=0),"",MAX(MIN($N73,Aannames!$B$5)*Aannames!$C$5+MAX(0,MIN($N73,Aannames!$B$6)-Aannames!$B$5)*Aannames!$C$6+MAX(0,MIN($N73,Aannames!$B$7)-Aannames!$B$6)*Aannames!$C$7+MAX(0,$N73-Aannames!$B$7)*Aannames!$C$8,Aannames!$B$9)+Aannames!$B$10)</f>
        <v/>
      </c>
      <c r="P73" s="18" t="str">
        <f aca="false">IF($L73="","",IFERROR(_xlfn.SWITCH($L73,"M1",Aannames!$B$16,"M2",Aannames!$B$17,"M3",Aannames!$B$18,"M4",Aannames!$B$19),""))</f>
        <v/>
      </c>
      <c r="Q73" s="17" t="str">
        <f aca="false">IF(OR($O73="",$P73=""),"",IFERROR(_xlfn.SWITCH($L73,"M1",Aannames!$B$10,"M2",Aannames!$B$10+($O73-Aannames!$B$10)*Aannames!$B$12,"M3",Aannames!$B$10+($O73-Aannames!$B$10)*(Aannames!$B$12+Aannames!$B$13),"M4",$O73),0)+($O73-IFERROR(_xlfn.SWITCH($L73,"M1",Aannames!$B$10,"M2",Aannames!$B$10+($O73-Aannames!$B$10)*Aannames!$B$12,"M3",Aannames!$B$10+($O73-Aannames!$B$10)*(Aannames!$B$12+Aannames!$B$13),"M4",$O73),0))*$P73)</f>
        <v/>
      </c>
      <c r="U73" s="15"/>
    </row>
    <row r="74" customFormat="false" ht="15" hidden="false" customHeight="false" outlineLevel="0" collapsed="false">
      <c r="I74" s="15"/>
      <c r="N74" s="16"/>
      <c r="O74" s="17" t="str">
        <f aca="false">IF(OR($N74="",$N74=0),"",MAX(MIN($N74,Aannames!$B$5)*Aannames!$C$5+MAX(0,MIN($N74,Aannames!$B$6)-Aannames!$B$5)*Aannames!$C$6+MAX(0,MIN($N74,Aannames!$B$7)-Aannames!$B$6)*Aannames!$C$7+MAX(0,$N74-Aannames!$B$7)*Aannames!$C$8,Aannames!$B$9)+Aannames!$B$10)</f>
        <v/>
      </c>
      <c r="P74" s="18" t="str">
        <f aca="false">IF($L74="","",IFERROR(_xlfn.SWITCH($L74,"M1",Aannames!$B$16,"M2",Aannames!$B$17,"M3",Aannames!$B$18,"M4",Aannames!$B$19),""))</f>
        <v/>
      </c>
      <c r="Q74" s="17" t="str">
        <f aca="false">IF(OR($O74="",$P74=""),"",IFERROR(_xlfn.SWITCH($L74,"M1",Aannames!$B$10,"M2",Aannames!$B$10+($O74-Aannames!$B$10)*Aannames!$B$12,"M3",Aannames!$B$10+($O74-Aannames!$B$10)*(Aannames!$B$12+Aannames!$B$13),"M4",$O74),0)+($O74-IFERROR(_xlfn.SWITCH($L74,"M1",Aannames!$B$10,"M2",Aannames!$B$10+($O74-Aannames!$B$10)*Aannames!$B$12,"M3",Aannames!$B$10+($O74-Aannames!$B$10)*(Aannames!$B$12+Aannames!$B$13),"M4",$O74),0))*$P74)</f>
        <v/>
      </c>
      <c r="U74" s="15"/>
    </row>
    <row r="75" customFormat="false" ht="15" hidden="false" customHeight="false" outlineLevel="0" collapsed="false">
      <c r="I75" s="15"/>
      <c r="N75" s="16"/>
      <c r="O75" s="17" t="str">
        <f aca="false">IF(OR($N75="",$N75=0),"",MAX(MIN($N75,Aannames!$B$5)*Aannames!$C$5+MAX(0,MIN($N75,Aannames!$B$6)-Aannames!$B$5)*Aannames!$C$6+MAX(0,MIN($N75,Aannames!$B$7)-Aannames!$B$6)*Aannames!$C$7+MAX(0,$N75-Aannames!$B$7)*Aannames!$C$8,Aannames!$B$9)+Aannames!$B$10)</f>
        <v/>
      </c>
      <c r="P75" s="18" t="str">
        <f aca="false">IF($L75="","",IFERROR(_xlfn.SWITCH($L75,"M1",Aannames!$B$16,"M2",Aannames!$B$17,"M3",Aannames!$B$18,"M4",Aannames!$B$19),""))</f>
        <v/>
      </c>
      <c r="Q75" s="17" t="str">
        <f aca="false">IF(OR($O75="",$P75=""),"",IFERROR(_xlfn.SWITCH($L75,"M1",Aannames!$B$10,"M2",Aannames!$B$10+($O75-Aannames!$B$10)*Aannames!$B$12,"M3",Aannames!$B$10+($O75-Aannames!$B$10)*(Aannames!$B$12+Aannames!$B$13),"M4",$O75),0)+($O75-IFERROR(_xlfn.SWITCH($L75,"M1",Aannames!$B$10,"M2",Aannames!$B$10+($O75-Aannames!$B$10)*Aannames!$B$12,"M3",Aannames!$B$10+($O75-Aannames!$B$10)*(Aannames!$B$12+Aannames!$B$13),"M4",$O75),0))*$P75)</f>
        <v/>
      </c>
      <c r="U75" s="15"/>
    </row>
    <row r="76" customFormat="false" ht="15" hidden="false" customHeight="false" outlineLevel="0" collapsed="false">
      <c r="I76" s="15"/>
      <c r="N76" s="16"/>
      <c r="O76" s="17" t="str">
        <f aca="false">IF(OR($N76="",$N76=0),"",MAX(MIN($N76,Aannames!$B$5)*Aannames!$C$5+MAX(0,MIN($N76,Aannames!$B$6)-Aannames!$B$5)*Aannames!$C$6+MAX(0,MIN($N76,Aannames!$B$7)-Aannames!$B$6)*Aannames!$C$7+MAX(0,$N76-Aannames!$B$7)*Aannames!$C$8,Aannames!$B$9)+Aannames!$B$10)</f>
        <v/>
      </c>
      <c r="P76" s="18" t="str">
        <f aca="false">IF($L76="","",IFERROR(_xlfn.SWITCH($L76,"M1",Aannames!$B$16,"M2",Aannames!$B$17,"M3",Aannames!$B$18,"M4",Aannames!$B$19),""))</f>
        <v/>
      </c>
      <c r="Q76" s="17" t="str">
        <f aca="false">IF(OR($O76="",$P76=""),"",IFERROR(_xlfn.SWITCH($L76,"M1",Aannames!$B$10,"M2",Aannames!$B$10+($O76-Aannames!$B$10)*Aannames!$B$12,"M3",Aannames!$B$10+($O76-Aannames!$B$10)*(Aannames!$B$12+Aannames!$B$13),"M4",$O76),0)+($O76-IFERROR(_xlfn.SWITCH($L76,"M1",Aannames!$B$10,"M2",Aannames!$B$10+($O76-Aannames!$B$10)*Aannames!$B$12,"M3",Aannames!$B$10+($O76-Aannames!$B$10)*(Aannames!$B$12+Aannames!$B$13),"M4",$O76),0))*$P76)</f>
        <v/>
      </c>
      <c r="U76" s="15"/>
    </row>
    <row r="77" customFormat="false" ht="15" hidden="false" customHeight="false" outlineLevel="0" collapsed="false">
      <c r="I77" s="15"/>
      <c r="N77" s="16"/>
      <c r="O77" s="17" t="str">
        <f aca="false">IF(OR($N77="",$N77=0),"",MAX(MIN($N77,Aannames!$B$5)*Aannames!$C$5+MAX(0,MIN($N77,Aannames!$B$6)-Aannames!$B$5)*Aannames!$C$6+MAX(0,MIN($N77,Aannames!$B$7)-Aannames!$B$6)*Aannames!$C$7+MAX(0,$N77-Aannames!$B$7)*Aannames!$C$8,Aannames!$B$9)+Aannames!$B$10)</f>
        <v/>
      </c>
      <c r="P77" s="18" t="str">
        <f aca="false">IF($L77="","",IFERROR(_xlfn.SWITCH($L77,"M1",Aannames!$B$16,"M2",Aannames!$B$17,"M3",Aannames!$B$18,"M4",Aannames!$B$19),""))</f>
        <v/>
      </c>
      <c r="Q77" s="17" t="str">
        <f aca="false">IF(OR($O77="",$P77=""),"",IFERROR(_xlfn.SWITCH($L77,"M1",Aannames!$B$10,"M2",Aannames!$B$10+($O77-Aannames!$B$10)*Aannames!$B$12,"M3",Aannames!$B$10+($O77-Aannames!$B$10)*(Aannames!$B$12+Aannames!$B$13),"M4",$O77),0)+($O77-IFERROR(_xlfn.SWITCH($L77,"M1",Aannames!$B$10,"M2",Aannames!$B$10+($O77-Aannames!$B$10)*Aannames!$B$12,"M3",Aannames!$B$10+($O77-Aannames!$B$10)*(Aannames!$B$12+Aannames!$B$13),"M4",$O77),0))*$P77)</f>
        <v/>
      </c>
      <c r="U77" s="15"/>
    </row>
    <row r="78" customFormat="false" ht="15" hidden="false" customHeight="false" outlineLevel="0" collapsed="false">
      <c r="I78" s="15"/>
      <c r="N78" s="16"/>
      <c r="O78" s="17" t="str">
        <f aca="false">IF(OR($N78="",$N78=0),"",MAX(MIN($N78,Aannames!$B$5)*Aannames!$C$5+MAX(0,MIN($N78,Aannames!$B$6)-Aannames!$B$5)*Aannames!$C$6+MAX(0,MIN($N78,Aannames!$B$7)-Aannames!$B$6)*Aannames!$C$7+MAX(0,$N78-Aannames!$B$7)*Aannames!$C$8,Aannames!$B$9)+Aannames!$B$10)</f>
        <v/>
      </c>
      <c r="P78" s="18" t="str">
        <f aca="false">IF($L78="","",IFERROR(_xlfn.SWITCH($L78,"M1",Aannames!$B$16,"M2",Aannames!$B$17,"M3",Aannames!$B$18,"M4",Aannames!$B$19),""))</f>
        <v/>
      </c>
      <c r="Q78" s="17" t="str">
        <f aca="false">IF(OR($O78="",$P78=""),"",IFERROR(_xlfn.SWITCH($L78,"M1",Aannames!$B$10,"M2",Aannames!$B$10+($O78-Aannames!$B$10)*Aannames!$B$12,"M3",Aannames!$B$10+($O78-Aannames!$B$10)*(Aannames!$B$12+Aannames!$B$13),"M4",$O78),0)+($O78-IFERROR(_xlfn.SWITCH($L78,"M1",Aannames!$B$10,"M2",Aannames!$B$10+($O78-Aannames!$B$10)*Aannames!$B$12,"M3",Aannames!$B$10+($O78-Aannames!$B$10)*(Aannames!$B$12+Aannames!$B$13),"M4",$O78),0))*$P78)</f>
        <v/>
      </c>
      <c r="U78" s="15"/>
    </row>
    <row r="79" customFormat="false" ht="15" hidden="false" customHeight="false" outlineLevel="0" collapsed="false">
      <c r="I79" s="15"/>
      <c r="N79" s="16"/>
      <c r="O79" s="17" t="str">
        <f aca="false">IF(OR($N79="",$N79=0),"",MAX(MIN($N79,Aannames!$B$5)*Aannames!$C$5+MAX(0,MIN($N79,Aannames!$B$6)-Aannames!$B$5)*Aannames!$C$6+MAX(0,MIN($N79,Aannames!$B$7)-Aannames!$B$6)*Aannames!$C$7+MAX(0,$N79-Aannames!$B$7)*Aannames!$C$8,Aannames!$B$9)+Aannames!$B$10)</f>
        <v/>
      </c>
      <c r="P79" s="18" t="str">
        <f aca="false">IF($L79="","",IFERROR(_xlfn.SWITCH($L79,"M1",Aannames!$B$16,"M2",Aannames!$B$17,"M3",Aannames!$B$18,"M4",Aannames!$B$19),""))</f>
        <v/>
      </c>
      <c r="Q79" s="17" t="str">
        <f aca="false">IF(OR($O79="",$P79=""),"",IFERROR(_xlfn.SWITCH($L79,"M1",Aannames!$B$10,"M2",Aannames!$B$10+($O79-Aannames!$B$10)*Aannames!$B$12,"M3",Aannames!$B$10+($O79-Aannames!$B$10)*(Aannames!$B$12+Aannames!$B$13),"M4",$O79),0)+($O79-IFERROR(_xlfn.SWITCH($L79,"M1",Aannames!$B$10,"M2",Aannames!$B$10+($O79-Aannames!$B$10)*Aannames!$B$12,"M3",Aannames!$B$10+($O79-Aannames!$B$10)*(Aannames!$B$12+Aannames!$B$13),"M4",$O79),0))*$P79)</f>
        <v/>
      </c>
      <c r="U79" s="15"/>
    </row>
    <row r="80" customFormat="false" ht="15" hidden="false" customHeight="false" outlineLevel="0" collapsed="false">
      <c r="I80" s="15"/>
      <c r="N80" s="16"/>
      <c r="O80" s="17" t="str">
        <f aca="false">IF(OR($N80="",$N80=0),"",MAX(MIN($N80,Aannames!$B$5)*Aannames!$C$5+MAX(0,MIN($N80,Aannames!$B$6)-Aannames!$B$5)*Aannames!$C$6+MAX(0,MIN($N80,Aannames!$B$7)-Aannames!$B$6)*Aannames!$C$7+MAX(0,$N80-Aannames!$B$7)*Aannames!$C$8,Aannames!$B$9)+Aannames!$B$10)</f>
        <v/>
      </c>
      <c r="P80" s="18" t="str">
        <f aca="false">IF($L80="","",IFERROR(_xlfn.SWITCH($L80,"M1",Aannames!$B$16,"M2",Aannames!$B$17,"M3",Aannames!$B$18,"M4",Aannames!$B$19),""))</f>
        <v/>
      </c>
      <c r="Q80" s="17" t="str">
        <f aca="false">IF(OR($O80="",$P80=""),"",IFERROR(_xlfn.SWITCH($L80,"M1",Aannames!$B$10,"M2",Aannames!$B$10+($O80-Aannames!$B$10)*Aannames!$B$12,"M3",Aannames!$B$10+($O80-Aannames!$B$10)*(Aannames!$B$12+Aannames!$B$13),"M4",$O80),0)+($O80-IFERROR(_xlfn.SWITCH($L80,"M1",Aannames!$B$10,"M2",Aannames!$B$10+($O80-Aannames!$B$10)*Aannames!$B$12,"M3",Aannames!$B$10+($O80-Aannames!$B$10)*(Aannames!$B$12+Aannames!$B$13),"M4",$O80),0))*$P80)</f>
        <v/>
      </c>
      <c r="U80" s="15"/>
    </row>
    <row r="81" customFormat="false" ht="15" hidden="false" customHeight="false" outlineLevel="0" collapsed="false">
      <c r="I81" s="15"/>
      <c r="N81" s="16"/>
      <c r="O81" s="17" t="str">
        <f aca="false">IF(OR($N81="",$N81=0),"",MAX(MIN($N81,Aannames!$B$5)*Aannames!$C$5+MAX(0,MIN($N81,Aannames!$B$6)-Aannames!$B$5)*Aannames!$C$6+MAX(0,MIN($N81,Aannames!$B$7)-Aannames!$B$6)*Aannames!$C$7+MAX(0,$N81-Aannames!$B$7)*Aannames!$C$8,Aannames!$B$9)+Aannames!$B$10)</f>
        <v/>
      </c>
      <c r="P81" s="18" t="str">
        <f aca="false">IF($L81="","",IFERROR(_xlfn.SWITCH($L81,"M1",Aannames!$B$16,"M2",Aannames!$B$17,"M3",Aannames!$B$18,"M4",Aannames!$B$19),""))</f>
        <v/>
      </c>
      <c r="Q81" s="17" t="str">
        <f aca="false">IF(OR($O81="",$P81=""),"",IFERROR(_xlfn.SWITCH($L81,"M1",Aannames!$B$10,"M2",Aannames!$B$10+($O81-Aannames!$B$10)*Aannames!$B$12,"M3",Aannames!$B$10+($O81-Aannames!$B$10)*(Aannames!$B$12+Aannames!$B$13),"M4",$O81),0)+($O81-IFERROR(_xlfn.SWITCH($L81,"M1",Aannames!$B$10,"M2",Aannames!$B$10+($O81-Aannames!$B$10)*Aannames!$B$12,"M3",Aannames!$B$10+($O81-Aannames!$B$10)*(Aannames!$B$12+Aannames!$B$13),"M4",$O81),0))*$P81)</f>
        <v/>
      </c>
      <c r="U81" s="15"/>
    </row>
    <row r="82" customFormat="false" ht="15" hidden="false" customHeight="false" outlineLevel="0" collapsed="false">
      <c r="I82" s="15"/>
      <c r="N82" s="16"/>
      <c r="O82" s="17" t="str">
        <f aca="false">IF(OR($N82="",$N82=0),"",MAX(MIN($N82,Aannames!$B$5)*Aannames!$C$5+MAX(0,MIN($N82,Aannames!$B$6)-Aannames!$B$5)*Aannames!$C$6+MAX(0,MIN($N82,Aannames!$B$7)-Aannames!$B$6)*Aannames!$C$7+MAX(0,$N82-Aannames!$B$7)*Aannames!$C$8,Aannames!$B$9)+Aannames!$B$10)</f>
        <v/>
      </c>
      <c r="P82" s="18" t="str">
        <f aca="false">IF($L82="","",IFERROR(_xlfn.SWITCH($L82,"M1",Aannames!$B$16,"M2",Aannames!$B$17,"M3",Aannames!$B$18,"M4",Aannames!$B$19),""))</f>
        <v/>
      </c>
      <c r="Q82" s="17" t="str">
        <f aca="false">IF(OR($O82="",$P82=""),"",IFERROR(_xlfn.SWITCH($L82,"M1",Aannames!$B$10,"M2",Aannames!$B$10+($O82-Aannames!$B$10)*Aannames!$B$12,"M3",Aannames!$B$10+($O82-Aannames!$B$10)*(Aannames!$B$12+Aannames!$B$13),"M4",$O82),0)+($O82-IFERROR(_xlfn.SWITCH($L82,"M1",Aannames!$B$10,"M2",Aannames!$B$10+($O82-Aannames!$B$10)*Aannames!$B$12,"M3",Aannames!$B$10+($O82-Aannames!$B$10)*(Aannames!$B$12+Aannames!$B$13),"M4",$O82),0))*$P82)</f>
        <v/>
      </c>
      <c r="U82" s="15"/>
    </row>
    <row r="83" customFormat="false" ht="15" hidden="false" customHeight="false" outlineLevel="0" collapsed="false">
      <c r="I83" s="15"/>
      <c r="N83" s="16"/>
      <c r="O83" s="17" t="str">
        <f aca="false">IF(OR($N83="",$N83=0),"",MAX(MIN($N83,Aannames!$B$5)*Aannames!$C$5+MAX(0,MIN($N83,Aannames!$B$6)-Aannames!$B$5)*Aannames!$C$6+MAX(0,MIN($N83,Aannames!$B$7)-Aannames!$B$6)*Aannames!$C$7+MAX(0,$N83-Aannames!$B$7)*Aannames!$C$8,Aannames!$B$9)+Aannames!$B$10)</f>
        <v/>
      </c>
      <c r="P83" s="18" t="str">
        <f aca="false">IF($L83="","",IFERROR(_xlfn.SWITCH($L83,"M1",Aannames!$B$16,"M2",Aannames!$B$17,"M3",Aannames!$B$18,"M4",Aannames!$B$19),""))</f>
        <v/>
      </c>
      <c r="Q83" s="17" t="str">
        <f aca="false">IF(OR($O83="",$P83=""),"",IFERROR(_xlfn.SWITCH($L83,"M1",Aannames!$B$10,"M2",Aannames!$B$10+($O83-Aannames!$B$10)*Aannames!$B$12,"M3",Aannames!$B$10+($O83-Aannames!$B$10)*(Aannames!$B$12+Aannames!$B$13),"M4",$O83),0)+($O83-IFERROR(_xlfn.SWITCH($L83,"M1",Aannames!$B$10,"M2",Aannames!$B$10+($O83-Aannames!$B$10)*Aannames!$B$12,"M3",Aannames!$B$10+($O83-Aannames!$B$10)*(Aannames!$B$12+Aannames!$B$13),"M4",$O83),0))*$P83)</f>
        <v/>
      </c>
      <c r="U83" s="15"/>
    </row>
    <row r="84" customFormat="false" ht="15" hidden="false" customHeight="false" outlineLevel="0" collapsed="false">
      <c r="I84" s="15"/>
      <c r="N84" s="16"/>
      <c r="O84" s="17" t="str">
        <f aca="false">IF(OR($N84="",$N84=0),"",MAX(MIN($N84,Aannames!$B$5)*Aannames!$C$5+MAX(0,MIN($N84,Aannames!$B$6)-Aannames!$B$5)*Aannames!$C$6+MAX(0,MIN($N84,Aannames!$B$7)-Aannames!$B$6)*Aannames!$C$7+MAX(0,$N84-Aannames!$B$7)*Aannames!$C$8,Aannames!$B$9)+Aannames!$B$10)</f>
        <v/>
      </c>
      <c r="P84" s="18" t="str">
        <f aca="false">IF($L84="","",IFERROR(_xlfn.SWITCH($L84,"M1",Aannames!$B$16,"M2",Aannames!$B$17,"M3",Aannames!$B$18,"M4",Aannames!$B$19),""))</f>
        <v/>
      </c>
      <c r="Q84" s="17" t="str">
        <f aca="false">IF(OR($O84="",$P84=""),"",IFERROR(_xlfn.SWITCH($L84,"M1",Aannames!$B$10,"M2",Aannames!$B$10+($O84-Aannames!$B$10)*Aannames!$B$12,"M3",Aannames!$B$10+($O84-Aannames!$B$10)*(Aannames!$B$12+Aannames!$B$13),"M4",$O84),0)+($O84-IFERROR(_xlfn.SWITCH($L84,"M1",Aannames!$B$10,"M2",Aannames!$B$10+($O84-Aannames!$B$10)*Aannames!$B$12,"M3",Aannames!$B$10+($O84-Aannames!$B$10)*(Aannames!$B$12+Aannames!$B$13),"M4",$O84),0))*$P84)</f>
        <v/>
      </c>
      <c r="U84" s="15"/>
    </row>
    <row r="85" customFormat="false" ht="15" hidden="false" customHeight="false" outlineLevel="0" collapsed="false">
      <c r="I85" s="15"/>
      <c r="N85" s="16"/>
      <c r="O85" s="17" t="str">
        <f aca="false">IF(OR($N85="",$N85=0),"",MAX(MIN($N85,Aannames!$B$5)*Aannames!$C$5+MAX(0,MIN($N85,Aannames!$B$6)-Aannames!$B$5)*Aannames!$C$6+MAX(0,MIN($N85,Aannames!$B$7)-Aannames!$B$6)*Aannames!$C$7+MAX(0,$N85-Aannames!$B$7)*Aannames!$C$8,Aannames!$B$9)+Aannames!$B$10)</f>
        <v/>
      </c>
      <c r="P85" s="18" t="str">
        <f aca="false">IF($L85="","",IFERROR(_xlfn.SWITCH($L85,"M1",Aannames!$B$16,"M2",Aannames!$B$17,"M3",Aannames!$B$18,"M4",Aannames!$B$19),""))</f>
        <v/>
      </c>
      <c r="Q85" s="17" t="str">
        <f aca="false">IF(OR($O85="",$P85=""),"",IFERROR(_xlfn.SWITCH($L85,"M1",Aannames!$B$10,"M2",Aannames!$B$10+($O85-Aannames!$B$10)*Aannames!$B$12,"M3",Aannames!$B$10+($O85-Aannames!$B$10)*(Aannames!$B$12+Aannames!$B$13),"M4",$O85),0)+($O85-IFERROR(_xlfn.SWITCH($L85,"M1",Aannames!$B$10,"M2",Aannames!$B$10+($O85-Aannames!$B$10)*Aannames!$B$12,"M3",Aannames!$B$10+($O85-Aannames!$B$10)*(Aannames!$B$12+Aannames!$B$13),"M4",$O85),0))*$P85)</f>
        <v/>
      </c>
      <c r="U85" s="15"/>
    </row>
    <row r="86" customFormat="false" ht="15" hidden="false" customHeight="false" outlineLevel="0" collapsed="false">
      <c r="I86" s="15"/>
      <c r="N86" s="16"/>
      <c r="O86" s="17" t="str">
        <f aca="false">IF(OR($N86="",$N86=0),"",MAX(MIN($N86,Aannames!$B$5)*Aannames!$C$5+MAX(0,MIN($N86,Aannames!$B$6)-Aannames!$B$5)*Aannames!$C$6+MAX(0,MIN($N86,Aannames!$B$7)-Aannames!$B$6)*Aannames!$C$7+MAX(0,$N86-Aannames!$B$7)*Aannames!$C$8,Aannames!$B$9)+Aannames!$B$10)</f>
        <v/>
      </c>
      <c r="P86" s="18" t="str">
        <f aca="false">IF($L86="","",IFERROR(_xlfn.SWITCH($L86,"M1",Aannames!$B$16,"M2",Aannames!$B$17,"M3",Aannames!$B$18,"M4",Aannames!$B$19),""))</f>
        <v/>
      </c>
      <c r="Q86" s="17" t="str">
        <f aca="false">IF(OR($O86="",$P86=""),"",IFERROR(_xlfn.SWITCH($L86,"M1",Aannames!$B$10,"M2",Aannames!$B$10+($O86-Aannames!$B$10)*Aannames!$B$12,"M3",Aannames!$B$10+($O86-Aannames!$B$10)*(Aannames!$B$12+Aannames!$B$13),"M4",$O86),0)+($O86-IFERROR(_xlfn.SWITCH($L86,"M1",Aannames!$B$10,"M2",Aannames!$B$10+($O86-Aannames!$B$10)*Aannames!$B$12,"M3",Aannames!$B$10+($O86-Aannames!$B$10)*(Aannames!$B$12+Aannames!$B$13),"M4",$O86),0))*$P86)</f>
        <v/>
      </c>
      <c r="U86" s="15"/>
    </row>
    <row r="87" customFormat="false" ht="15" hidden="false" customHeight="false" outlineLevel="0" collapsed="false">
      <c r="I87" s="15"/>
      <c r="N87" s="16"/>
      <c r="O87" s="17" t="str">
        <f aca="false">IF(OR($N87="",$N87=0),"",MAX(MIN($N87,Aannames!$B$5)*Aannames!$C$5+MAX(0,MIN($N87,Aannames!$B$6)-Aannames!$B$5)*Aannames!$C$6+MAX(0,MIN($N87,Aannames!$B$7)-Aannames!$B$6)*Aannames!$C$7+MAX(0,$N87-Aannames!$B$7)*Aannames!$C$8,Aannames!$B$9)+Aannames!$B$10)</f>
        <v/>
      </c>
      <c r="P87" s="18" t="str">
        <f aca="false">IF($L87="","",IFERROR(_xlfn.SWITCH($L87,"M1",Aannames!$B$16,"M2",Aannames!$B$17,"M3",Aannames!$B$18,"M4",Aannames!$B$19),""))</f>
        <v/>
      </c>
      <c r="Q87" s="17" t="str">
        <f aca="false">IF(OR($O87="",$P87=""),"",IFERROR(_xlfn.SWITCH($L87,"M1",Aannames!$B$10,"M2",Aannames!$B$10+($O87-Aannames!$B$10)*Aannames!$B$12,"M3",Aannames!$B$10+($O87-Aannames!$B$10)*(Aannames!$B$12+Aannames!$B$13),"M4",$O87),0)+($O87-IFERROR(_xlfn.SWITCH($L87,"M1",Aannames!$B$10,"M2",Aannames!$B$10+($O87-Aannames!$B$10)*Aannames!$B$12,"M3",Aannames!$B$10+($O87-Aannames!$B$10)*(Aannames!$B$12+Aannames!$B$13),"M4",$O87),0))*$P87)</f>
        <v/>
      </c>
      <c r="U87" s="15"/>
    </row>
    <row r="88" customFormat="false" ht="15" hidden="false" customHeight="false" outlineLevel="0" collapsed="false">
      <c r="I88" s="15"/>
      <c r="N88" s="16"/>
      <c r="O88" s="17" t="str">
        <f aca="false">IF(OR($N88="",$N88=0),"",MAX(MIN($N88,Aannames!$B$5)*Aannames!$C$5+MAX(0,MIN($N88,Aannames!$B$6)-Aannames!$B$5)*Aannames!$C$6+MAX(0,MIN($N88,Aannames!$B$7)-Aannames!$B$6)*Aannames!$C$7+MAX(0,$N88-Aannames!$B$7)*Aannames!$C$8,Aannames!$B$9)+Aannames!$B$10)</f>
        <v/>
      </c>
      <c r="P88" s="18" t="str">
        <f aca="false">IF($L88="","",IFERROR(_xlfn.SWITCH($L88,"M1",Aannames!$B$16,"M2",Aannames!$B$17,"M3",Aannames!$B$18,"M4",Aannames!$B$19),""))</f>
        <v/>
      </c>
      <c r="Q88" s="17" t="str">
        <f aca="false">IF(OR($O88="",$P88=""),"",IFERROR(_xlfn.SWITCH($L88,"M1",Aannames!$B$10,"M2",Aannames!$B$10+($O88-Aannames!$B$10)*Aannames!$B$12,"M3",Aannames!$B$10+($O88-Aannames!$B$10)*(Aannames!$B$12+Aannames!$B$13),"M4",$O88),0)+($O88-IFERROR(_xlfn.SWITCH($L88,"M1",Aannames!$B$10,"M2",Aannames!$B$10+($O88-Aannames!$B$10)*Aannames!$B$12,"M3",Aannames!$B$10+($O88-Aannames!$B$10)*(Aannames!$B$12+Aannames!$B$13),"M4",$O88),0))*$P88)</f>
        <v/>
      </c>
      <c r="U88" s="15"/>
    </row>
    <row r="89" customFormat="false" ht="15" hidden="false" customHeight="false" outlineLevel="0" collapsed="false">
      <c r="I89" s="15"/>
      <c r="N89" s="16"/>
      <c r="O89" s="17" t="str">
        <f aca="false">IF(OR($N89="",$N89=0),"",MAX(MIN($N89,Aannames!$B$5)*Aannames!$C$5+MAX(0,MIN($N89,Aannames!$B$6)-Aannames!$B$5)*Aannames!$C$6+MAX(0,MIN($N89,Aannames!$B$7)-Aannames!$B$6)*Aannames!$C$7+MAX(0,$N89-Aannames!$B$7)*Aannames!$C$8,Aannames!$B$9)+Aannames!$B$10)</f>
        <v/>
      </c>
      <c r="P89" s="18" t="str">
        <f aca="false">IF($L89="","",IFERROR(_xlfn.SWITCH($L89,"M1",Aannames!$B$16,"M2",Aannames!$B$17,"M3",Aannames!$B$18,"M4",Aannames!$B$19),""))</f>
        <v/>
      </c>
      <c r="Q89" s="17" t="str">
        <f aca="false">IF(OR($O89="",$P89=""),"",IFERROR(_xlfn.SWITCH($L89,"M1",Aannames!$B$10,"M2",Aannames!$B$10+($O89-Aannames!$B$10)*Aannames!$B$12,"M3",Aannames!$B$10+($O89-Aannames!$B$10)*(Aannames!$B$12+Aannames!$B$13),"M4",$O89),0)+($O89-IFERROR(_xlfn.SWITCH($L89,"M1",Aannames!$B$10,"M2",Aannames!$B$10+($O89-Aannames!$B$10)*Aannames!$B$12,"M3",Aannames!$B$10+($O89-Aannames!$B$10)*(Aannames!$B$12+Aannames!$B$13),"M4",$O89),0))*$P89)</f>
        <v/>
      </c>
      <c r="U89" s="15"/>
    </row>
    <row r="90" customFormat="false" ht="15" hidden="false" customHeight="false" outlineLevel="0" collapsed="false">
      <c r="I90" s="15"/>
      <c r="N90" s="16"/>
      <c r="O90" s="17" t="str">
        <f aca="false">IF(OR($N90="",$N90=0),"",MAX(MIN($N90,Aannames!$B$5)*Aannames!$C$5+MAX(0,MIN($N90,Aannames!$B$6)-Aannames!$B$5)*Aannames!$C$6+MAX(0,MIN($N90,Aannames!$B$7)-Aannames!$B$6)*Aannames!$C$7+MAX(0,$N90-Aannames!$B$7)*Aannames!$C$8,Aannames!$B$9)+Aannames!$B$10)</f>
        <v/>
      </c>
      <c r="P90" s="18" t="str">
        <f aca="false">IF($L90="","",IFERROR(_xlfn.SWITCH($L90,"M1",Aannames!$B$16,"M2",Aannames!$B$17,"M3",Aannames!$B$18,"M4",Aannames!$B$19),""))</f>
        <v/>
      </c>
      <c r="Q90" s="17" t="str">
        <f aca="false">IF(OR($O90="",$P90=""),"",IFERROR(_xlfn.SWITCH($L90,"M1",Aannames!$B$10,"M2",Aannames!$B$10+($O90-Aannames!$B$10)*Aannames!$B$12,"M3",Aannames!$B$10+($O90-Aannames!$B$10)*(Aannames!$B$12+Aannames!$B$13),"M4",$O90),0)+($O90-IFERROR(_xlfn.SWITCH($L90,"M1",Aannames!$B$10,"M2",Aannames!$B$10+($O90-Aannames!$B$10)*Aannames!$B$12,"M3",Aannames!$B$10+($O90-Aannames!$B$10)*(Aannames!$B$12+Aannames!$B$13),"M4",$O90),0))*$P90)</f>
        <v/>
      </c>
      <c r="U90" s="15"/>
    </row>
    <row r="91" customFormat="false" ht="15" hidden="false" customHeight="false" outlineLevel="0" collapsed="false">
      <c r="I91" s="15"/>
      <c r="N91" s="16"/>
      <c r="O91" s="17" t="str">
        <f aca="false">IF(OR($N91="",$N91=0),"",MAX(MIN($N91,Aannames!$B$5)*Aannames!$C$5+MAX(0,MIN($N91,Aannames!$B$6)-Aannames!$B$5)*Aannames!$C$6+MAX(0,MIN($N91,Aannames!$B$7)-Aannames!$B$6)*Aannames!$C$7+MAX(0,$N91-Aannames!$B$7)*Aannames!$C$8,Aannames!$B$9)+Aannames!$B$10)</f>
        <v/>
      </c>
      <c r="P91" s="18" t="str">
        <f aca="false">IF($L91="","",IFERROR(_xlfn.SWITCH($L91,"M1",Aannames!$B$16,"M2",Aannames!$B$17,"M3",Aannames!$B$18,"M4",Aannames!$B$19),""))</f>
        <v/>
      </c>
      <c r="Q91" s="17" t="str">
        <f aca="false">IF(OR($O91="",$P91=""),"",IFERROR(_xlfn.SWITCH($L91,"M1",Aannames!$B$10,"M2",Aannames!$B$10+($O91-Aannames!$B$10)*Aannames!$B$12,"M3",Aannames!$B$10+($O91-Aannames!$B$10)*(Aannames!$B$12+Aannames!$B$13),"M4",$O91),0)+($O91-IFERROR(_xlfn.SWITCH($L91,"M1",Aannames!$B$10,"M2",Aannames!$B$10+($O91-Aannames!$B$10)*Aannames!$B$12,"M3",Aannames!$B$10+($O91-Aannames!$B$10)*(Aannames!$B$12+Aannames!$B$13),"M4",$O91),0))*$P91)</f>
        <v/>
      </c>
      <c r="U91" s="15"/>
    </row>
    <row r="92" customFormat="false" ht="15" hidden="false" customHeight="false" outlineLevel="0" collapsed="false">
      <c r="I92" s="15"/>
      <c r="N92" s="16"/>
      <c r="O92" s="17" t="str">
        <f aca="false">IF(OR($N92="",$N92=0),"",MAX(MIN($N92,Aannames!$B$5)*Aannames!$C$5+MAX(0,MIN($N92,Aannames!$B$6)-Aannames!$B$5)*Aannames!$C$6+MAX(0,MIN($N92,Aannames!$B$7)-Aannames!$B$6)*Aannames!$C$7+MAX(0,$N92-Aannames!$B$7)*Aannames!$C$8,Aannames!$B$9)+Aannames!$B$10)</f>
        <v/>
      </c>
      <c r="P92" s="18" t="str">
        <f aca="false">IF($L92="","",IFERROR(_xlfn.SWITCH($L92,"M1",Aannames!$B$16,"M2",Aannames!$B$17,"M3",Aannames!$B$18,"M4",Aannames!$B$19),""))</f>
        <v/>
      </c>
      <c r="Q92" s="17" t="str">
        <f aca="false">IF(OR($O92="",$P92=""),"",IFERROR(_xlfn.SWITCH($L92,"M1",Aannames!$B$10,"M2",Aannames!$B$10+($O92-Aannames!$B$10)*Aannames!$B$12,"M3",Aannames!$B$10+($O92-Aannames!$B$10)*(Aannames!$B$12+Aannames!$B$13),"M4",$O92),0)+($O92-IFERROR(_xlfn.SWITCH($L92,"M1",Aannames!$B$10,"M2",Aannames!$B$10+($O92-Aannames!$B$10)*Aannames!$B$12,"M3",Aannames!$B$10+($O92-Aannames!$B$10)*(Aannames!$B$12+Aannames!$B$13),"M4",$O92),0))*$P92)</f>
        <v/>
      </c>
      <c r="U92" s="15"/>
    </row>
    <row r="93" customFormat="false" ht="15" hidden="false" customHeight="false" outlineLevel="0" collapsed="false">
      <c r="I93" s="15"/>
      <c r="N93" s="16"/>
      <c r="O93" s="17" t="str">
        <f aca="false">IF(OR($N93="",$N93=0),"",MAX(MIN($N93,Aannames!$B$5)*Aannames!$C$5+MAX(0,MIN($N93,Aannames!$B$6)-Aannames!$B$5)*Aannames!$C$6+MAX(0,MIN($N93,Aannames!$B$7)-Aannames!$B$6)*Aannames!$C$7+MAX(0,$N93-Aannames!$B$7)*Aannames!$C$8,Aannames!$B$9)+Aannames!$B$10)</f>
        <v/>
      </c>
      <c r="P93" s="18" t="str">
        <f aca="false">IF($L93="","",IFERROR(_xlfn.SWITCH($L93,"M1",Aannames!$B$16,"M2",Aannames!$B$17,"M3",Aannames!$B$18,"M4",Aannames!$B$19),""))</f>
        <v/>
      </c>
      <c r="Q93" s="17" t="str">
        <f aca="false">IF(OR($O93="",$P93=""),"",IFERROR(_xlfn.SWITCH($L93,"M1",Aannames!$B$10,"M2",Aannames!$B$10+($O93-Aannames!$B$10)*Aannames!$B$12,"M3",Aannames!$B$10+($O93-Aannames!$B$10)*(Aannames!$B$12+Aannames!$B$13),"M4",$O93),0)+($O93-IFERROR(_xlfn.SWITCH($L93,"M1",Aannames!$B$10,"M2",Aannames!$B$10+($O93-Aannames!$B$10)*Aannames!$B$12,"M3",Aannames!$B$10+($O93-Aannames!$B$10)*(Aannames!$B$12+Aannames!$B$13),"M4",$O93),0))*$P93)</f>
        <v/>
      </c>
      <c r="U93" s="15"/>
    </row>
    <row r="94" customFormat="false" ht="15" hidden="false" customHeight="false" outlineLevel="0" collapsed="false">
      <c r="I94" s="15"/>
      <c r="N94" s="16"/>
      <c r="O94" s="17" t="str">
        <f aca="false">IF(OR($N94="",$N94=0),"",MAX(MIN($N94,Aannames!$B$5)*Aannames!$C$5+MAX(0,MIN($N94,Aannames!$B$6)-Aannames!$B$5)*Aannames!$C$6+MAX(0,MIN($N94,Aannames!$B$7)-Aannames!$B$6)*Aannames!$C$7+MAX(0,$N94-Aannames!$B$7)*Aannames!$C$8,Aannames!$B$9)+Aannames!$B$10)</f>
        <v/>
      </c>
      <c r="P94" s="18" t="str">
        <f aca="false">IF($L94="","",IFERROR(_xlfn.SWITCH($L94,"M1",Aannames!$B$16,"M2",Aannames!$B$17,"M3",Aannames!$B$18,"M4",Aannames!$B$19),""))</f>
        <v/>
      </c>
      <c r="Q94" s="17" t="str">
        <f aca="false">IF(OR($O94="",$P94=""),"",IFERROR(_xlfn.SWITCH($L94,"M1",Aannames!$B$10,"M2",Aannames!$B$10+($O94-Aannames!$B$10)*Aannames!$B$12,"M3",Aannames!$B$10+($O94-Aannames!$B$10)*(Aannames!$B$12+Aannames!$B$13),"M4",$O94),0)+($O94-IFERROR(_xlfn.SWITCH($L94,"M1",Aannames!$B$10,"M2",Aannames!$B$10+($O94-Aannames!$B$10)*Aannames!$B$12,"M3",Aannames!$B$10+($O94-Aannames!$B$10)*(Aannames!$B$12+Aannames!$B$13),"M4",$O94),0))*$P94)</f>
        <v/>
      </c>
      <c r="U94" s="15"/>
    </row>
    <row r="95" customFormat="false" ht="15" hidden="false" customHeight="false" outlineLevel="0" collapsed="false">
      <c r="I95" s="15"/>
      <c r="N95" s="16"/>
      <c r="O95" s="17" t="str">
        <f aca="false">IF(OR($N95="",$N95=0),"",MAX(MIN($N95,Aannames!$B$5)*Aannames!$C$5+MAX(0,MIN($N95,Aannames!$B$6)-Aannames!$B$5)*Aannames!$C$6+MAX(0,MIN($N95,Aannames!$B$7)-Aannames!$B$6)*Aannames!$C$7+MAX(0,$N95-Aannames!$B$7)*Aannames!$C$8,Aannames!$B$9)+Aannames!$B$10)</f>
        <v/>
      </c>
      <c r="P95" s="18" t="str">
        <f aca="false">IF($L95="","",IFERROR(_xlfn.SWITCH($L95,"M1",Aannames!$B$16,"M2",Aannames!$B$17,"M3",Aannames!$B$18,"M4",Aannames!$B$19),""))</f>
        <v/>
      </c>
      <c r="Q95" s="17" t="str">
        <f aca="false">IF(OR($O95="",$P95=""),"",IFERROR(_xlfn.SWITCH($L95,"M1",Aannames!$B$10,"M2",Aannames!$B$10+($O95-Aannames!$B$10)*Aannames!$B$12,"M3",Aannames!$B$10+($O95-Aannames!$B$10)*(Aannames!$B$12+Aannames!$B$13),"M4",$O95),0)+($O95-IFERROR(_xlfn.SWITCH($L95,"M1",Aannames!$B$10,"M2",Aannames!$B$10+($O95-Aannames!$B$10)*Aannames!$B$12,"M3",Aannames!$B$10+($O95-Aannames!$B$10)*(Aannames!$B$12+Aannames!$B$13),"M4",$O95),0))*$P95)</f>
        <v/>
      </c>
      <c r="U95" s="15"/>
    </row>
    <row r="96" customFormat="false" ht="15" hidden="false" customHeight="false" outlineLevel="0" collapsed="false">
      <c r="I96" s="15"/>
      <c r="N96" s="16"/>
      <c r="O96" s="17" t="str">
        <f aca="false">IF(OR($N96="",$N96=0),"",MAX(MIN($N96,Aannames!$B$5)*Aannames!$C$5+MAX(0,MIN($N96,Aannames!$B$6)-Aannames!$B$5)*Aannames!$C$6+MAX(0,MIN($N96,Aannames!$B$7)-Aannames!$B$6)*Aannames!$C$7+MAX(0,$N96-Aannames!$B$7)*Aannames!$C$8,Aannames!$B$9)+Aannames!$B$10)</f>
        <v/>
      </c>
      <c r="P96" s="18" t="str">
        <f aca="false">IF($L96="","",IFERROR(_xlfn.SWITCH($L96,"M1",Aannames!$B$16,"M2",Aannames!$B$17,"M3",Aannames!$B$18,"M4",Aannames!$B$19),""))</f>
        <v/>
      </c>
      <c r="Q96" s="17" t="str">
        <f aca="false">IF(OR($O96="",$P96=""),"",IFERROR(_xlfn.SWITCH($L96,"M1",Aannames!$B$10,"M2",Aannames!$B$10+($O96-Aannames!$B$10)*Aannames!$B$12,"M3",Aannames!$B$10+($O96-Aannames!$B$10)*(Aannames!$B$12+Aannames!$B$13),"M4",$O96),0)+($O96-IFERROR(_xlfn.SWITCH($L96,"M1",Aannames!$B$10,"M2",Aannames!$B$10+($O96-Aannames!$B$10)*Aannames!$B$12,"M3",Aannames!$B$10+($O96-Aannames!$B$10)*(Aannames!$B$12+Aannames!$B$13),"M4",$O96),0))*$P96)</f>
        <v/>
      </c>
      <c r="U96" s="15"/>
    </row>
    <row r="97" customFormat="false" ht="15" hidden="false" customHeight="false" outlineLevel="0" collapsed="false">
      <c r="I97" s="15"/>
      <c r="N97" s="16"/>
      <c r="O97" s="17" t="str">
        <f aca="false">IF(OR($N97="",$N97=0),"",MAX(MIN($N97,Aannames!$B$5)*Aannames!$C$5+MAX(0,MIN($N97,Aannames!$B$6)-Aannames!$B$5)*Aannames!$C$6+MAX(0,MIN($N97,Aannames!$B$7)-Aannames!$B$6)*Aannames!$C$7+MAX(0,$N97-Aannames!$B$7)*Aannames!$C$8,Aannames!$B$9)+Aannames!$B$10)</f>
        <v/>
      </c>
      <c r="P97" s="18" t="str">
        <f aca="false">IF($L97="","",IFERROR(_xlfn.SWITCH($L97,"M1",Aannames!$B$16,"M2",Aannames!$B$17,"M3",Aannames!$B$18,"M4",Aannames!$B$19),""))</f>
        <v/>
      </c>
      <c r="Q97" s="17" t="str">
        <f aca="false">IF(OR($O97="",$P97=""),"",IFERROR(_xlfn.SWITCH($L97,"M1",Aannames!$B$10,"M2",Aannames!$B$10+($O97-Aannames!$B$10)*Aannames!$B$12,"M3",Aannames!$B$10+($O97-Aannames!$B$10)*(Aannames!$B$12+Aannames!$B$13),"M4",$O97),0)+($O97-IFERROR(_xlfn.SWITCH($L97,"M1",Aannames!$B$10,"M2",Aannames!$B$10+($O97-Aannames!$B$10)*Aannames!$B$12,"M3",Aannames!$B$10+($O97-Aannames!$B$10)*(Aannames!$B$12+Aannames!$B$13),"M4",$O97),0))*$P97)</f>
        <v/>
      </c>
      <c r="U97" s="15"/>
    </row>
    <row r="98" customFormat="false" ht="15" hidden="false" customHeight="false" outlineLevel="0" collapsed="false">
      <c r="I98" s="15"/>
      <c r="N98" s="16"/>
      <c r="O98" s="17" t="str">
        <f aca="false">IF(OR($N98="",$N98=0),"",MAX(MIN($N98,Aannames!$B$5)*Aannames!$C$5+MAX(0,MIN($N98,Aannames!$B$6)-Aannames!$B$5)*Aannames!$C$6+MAX(0,MIN($N98,Aannames!$B$7)-Aannames!$B$6)*Aannames!$C$7+MAX(0,$N98-Aannames!$B$7)*Aannames!$C$8,Aannames!$B$9)+Aannames!$B$10)</f>
        <v/>
      </c>
      <c r="P98" s="18" t="str">
        <f aca="false">IF($L98="","",IFERROR(_xlfn.SWITCH($L98,"M1",Aannames!$B$16,"M2",Aannames!$B$17,"M3",Aannames!$B$18,"M4",Aannames!$B$19),""))</f>
        <v/>
      </c>
      <c r="Q98" s="17" t="str">
        <f aca="false">IF(OR($O98="",$P98=""),"",IFERROR(_xlfn.SWITCH($L98,"M1",Aannames!$B$10,"M2",Aannames!$B$10+($O98-Aannames!$B$10)*Aannames!$B$12,"M3",Aannames!$B$10+($O98-Aannames!$B$10)*(Aannames!$B$12+Aannames!$B$13),"M4",$O98),0)+($O98-IFERROR(_xlfn.SWITCH($L98,"M1",Aannames!$B$10,"M2",Aannames!$B$10+($O98-Aannames!$B$10)*Aannames!$B$12,"M3",Aannames!$B$10+($O98-Aannames!$B$10)*(Aannames!$B$12+Aannames!$B$13),"M4",$O98),0))*$P98)</f>
        <v/>
      </c>
      <c r="U98" s="15"/>
    </row>
    <row r="99" customFormat="false" ht="15" hidden="false" customHeight="false" outlineLevel="0" collapsed="false">
      <c r="I99" s="15"/>
      <c r="N99" s="16"/>
      <c r="O99" s="17" t="str">
        <f aca="false">IF(OR($N99="",$N99=0),"",MAX(MIN($N99,Aannames!$B$5)*Aannames!$C$5+MAX(0,MIN($N99,Aannames!$B$6)-Aannames!$B$5)*Aannames!$C$6+MAX(0,MIN($N99,Aannames!$B$7)-Aannames!$B$6)*Aannames!$C$7+MAX(0,$N99-Aannames!$B$7)*Aannames!$C$8,Aannames!$B$9)+Aannames!$B$10)</f>
        <v/>
      </c>
      <c r="P99" s="18" t="str">
        <f aca="false">IF($L99="","",IFERROR(_xlfn.SWITCH($L99,"M1",Aannames!$B$16,"M2",Aannames!$B$17,"M3",Aannames!$B$18,"M4",Aannames!$B$19),""))</f>
        <v/>
      </c>
      <c r="Q99" s="17" t="str">
        <f aca="false">IF(OR($O99="",$P99=""),"",IFERROR(_xlfn.SWITCH($L99,"M1",Aannames!$B$10,"M2",Aannames!$B$10+($O99-Aannames!$B$10)*Aannames!$B$12,"M3",Aannames!$B$10+($O99-Aannames!$B$10)*(Aannames!$B$12+Aannames!$B$13),"M4",$O99),0)+($O99-IFERROR(_xlfn.SWITCH($L99,"M1",Aannames!$B$10,"M2",Aannames!$B$10+($O99-Aannames!$B$10)*Aannames!$B$12,"M3",Aannames!$B$10+($O99-Aannames!$B$10)*(Aannames!$B$12+Aannames!$B$13),"M4",$O99),0))*$P99)</f>
        <v/>
      </c>
      <c r="U99" s="15"/>
    </row>
    <row r="100" customFormat="false" ht="15" hidden="false" customHeight="false" outlineLevel="0" collapsed="false">
      <c r="I100" s="15"/>
      <c r="N100" s="16"/>
      <c r="O100" s="17" t="str">
        <f aca="false">IF(OR($N100="",$N100=0),"",MAX(MIN($N100,Aannames!$B$5)*Aannames!$C$5+MAX(0,MIN($N100,Aannames!$B$6)-Aannames!$B$5)*Aannames!$C$6+MAX(0,MIN($N100,Aannames!$B$7)-Aannames!$B$6)*Aannames!$C$7+MAX(0,$N100-Aannames!$B$7)*Aannames!$C$8,Aannames!$B$9)+Aannames!$B$10)</f>
        <v/>
      </c>
      <c r="P100" s="18" t="str">
        <f aca="false">IF($L100="","",IFERROR(_xlfn.SWITCH($L100,"M1",Aannames!$B$16,"M2",Aannames!$B$17,"M3",Aannames!$B$18,"M4",Aannames!$B$19),""))</f>
        <v/>
      </c>
      <c r="Q100" s="17" t="str">
        <f aca="false">IF(OR($O100="",$P100=""),"",IFERROR(_xlfn.SWITCH($L100,"M1",Aannames!$B$10,"M2",Aannames!$B$10+($O100-Aannames!$B$10)*Aannames!$B$12,"M3",Aannames!$B$10+($O100-Aannames!$B$10)*(Aannames!$B$12+Aannames!$B$13),"M4",$O100),0)+($O100-IFERROR(_xlfn.SWITCH($L100,"M1",Aannames!$B$10,"M2",Aannames!$B$10+($O100-Aannames!$B$10)*Aannames!$B$12,"M3",Aannames!$B$10+($O100-Aannames!$B$10)*(Aannames!$B$12+Aannames!$B$13),"M4",$O100),0))*$P100)</f>
        <v/>
      </c>
      <c r="U100" s="15"/>
    </row>
    <row r="101" customFormat="false" ht="15" hidden="false" customHeight="false" outlineLevel="0" collapsed="false">
      <c r="I101" s="15"/>
      <c r="N101" s="16"/>
      <c r="O101" s="17" t="str">
        <f aca="false">IF(OR($N101="",$N101=0),"",MAX(MIN($N101,Aannames!$B$5)*Aannames!$C$5+MAX(0,MIN($N101,Aannames!$B$6)-Aannames!$B$5)*Aannames!$C$6+MAX(0,MIN($N101,Aannames!$B$7)-Aannames!$B$6)*Aannames!$C$7+MAX(0,$N101-Aannames!$B$7)*Aannames!$C$8,Aannames!$B$9)+Aannames!$B$10)</f>
        <v/>
      </c>
      <c r="P101" s="18" t="str">
        <f aca="false">IF($L101="","",IFERROR(_xlfn.SWITCH($L101,"M1",Aannames!$B$16,"M2",Aannames!$B$17,"M3",Aannames!$B$18,"M4",Aannames!$B$19),""))</f>
        <v/>
      </c>
      <c r="Q101" s="17" t="str">
        <f aca="false">IF(OR($O101="",$P101=""),"",IFERROR(_xlfn.SWITCH($L101,"M1",Aannames!$B$10,"M2",Aannames!$B$10+($O101-Aannames!$B$10)*Aannames!$B$12,"M3",Aannames!$B$10+($O101-Aannames!$B$10)*(Aannames!$B$12+Aannames!$B$13),"M4",$O101),0)+($O101-IFERROR(_xlfn.SWITCH($L101,"M1",Aannames!$B$10,"M2",Aannames!$B$10+($O101-Aannames!$B$10)*Aannames!$B$12,"M3",Aannames!$B$10+($O101-Aannames!$B$10)*(Aannames!$B$12+Aannames!$B$13),"M4",$O101),0))*$P101)</f>
        <v/>
      </c>
      <c r="U101" s="15"/>
    </row>
    <row r="102" customFormat="false" ht="15" hidden="false" customHeight="false" outlineLevel="0" collapsed="false">
      <c r="I102" s="15"/>
      <c r="N102" s="16"/>
      <c r="O102" s="17" t="str">
        <f aca="false">IF(OR($N102="",$N102=0),"",MAX(MIN($N102,Aannames!$B$5)*Aannames!$C$5+MAX(0,MIN($N102,Aannames!$B$6)-Aannames!$B$5)*Aannames!$C$6+MAX(0,MIN($N102,Aannames!$B$7)-Aannames!$B$6)*Aannames!$C$7+MAX(0,$N102-Aannames!$B$7)*Aannames!$C$8,Aannames!$B$9)+Aannames!$B$10)</f>
        <v/>
      </c>
      <c r="P102" s="18" t="str">
        <f aca="false">IF($L102="","",IFERROR(_xlfn.SWITCH($L102,"M1",Aannames!$B$16,"M2",Aannames!$B$17,"M3",Aannames!$B$18,"M4",Aannames!$B$19),""))</f>
        <v/>
      </c>
      <c r="Q102" s="17" t="str">
        <f aca="false">IF(OR($O102="",$P102=""),"",IFERROR(_xlfn.SWITCH($L102,"M1",Aannames!$B$10,"M2",Aannames!$B$10+($O102-Aannames!$B$10)*Aannames!$B$12,"M3",Aannames!$B$10+($O102-Aannames!$B$10)*(Aannames!$B$12+Aannames!$B$13),"M4",$O102),0)+($O102-IFERROR(_xlfn.SWITCH($L102,"M1",Aannames!$B$10,"M2",Aannames!$B$10+($O102-Aannames!$B$10)*Aannames!$B$12,"M3",Aannames!$B$10+($O102-Aannames!$B$10)*(Aannames!$B$12+Aannames!$B$13),"M4",$O102),0))*$P102)</f>
        <v/>
      </c>
      <c r="U102" s="15"/>
    </row>
    <row r="103" customFormat="false" ht="15" hidden="false" customHeight="false" outlineLevel="0" collapsed="false">
      <c r="I103" s="15"/>
      <c r="N103" s="16"/>
      <c r="O103" s="17" t="str">
        <f aca="false">IF(OR($N103="",$N103=0),"",MAX(MIN($N103,Aannames!$B$5)*Aannames!$C$5+MAX(0,MIN($N103,Aannames!$B$6)-Aannames!$B$5)*Aannames!$C$6+MAX(0,MIN($N103,Aannames!$B$7)-Aannames!$B$6)*Aannames!$C$7+MAX(0,$N103-Aannames!$B$7)*Aannames!$C$8,Aannames!$B$9)+Aannames!$B$10)</f>
        <v/>
      </c>
      <c r="P103" s="18" t="str">
        <f aca="false">IF($L103="","",IFERROR(_xlfn.SWITCH($L103,"M1",Aannames!$B$16,"M2",Aannames!$B$17,"M3",Aannames!$B$18,"M4",Aannames!$B$19),""))</f>
        <v/>
      </c>
      <c r="Q103" s="17" t="str">
        <f aca="false">IF(OR($O103="",$P103=""),"",IFERROR(_xlfn.SWITCH($L103,"M1",Aannames!$B$10,"M2",Aannames!$B$10+($O103-Aannames!$B$10)*Aannames!$B$12,"M3",Aannames!$B$10+($O103-Aannames!$B$10)*(Aannames!$B$12+Aannames!$B$13),"M4",$O103),0)+($O103-IFERROR(_xlfn.SWITCH($L103,"M1",Aannames!$B$10,"M2",Aannames!$B$10+($O103-Aannames!$B$10)*Aannames!$B$12,"M3",Aannames!$B$10+($O103-Aannames!$B$10)*(Aannames!$B$12+Aannames!$B$13),"M4",$O103),0))*$P103)</f>
        <v/>
      </c>
      <c r="U103" s="15"/>
    </row>
    <row r="104" customFormat="false" ht="15" hidden="false" customHeight="false" outlineLevel="0" collapsed="false">
      <c r="I104" s="15"/>
      <c r="N104" s="16"/>
      <c r="O104" s="17" t="str">
        <f aca="false">IF(OR($N104="",$N104=0),"",MAX(MIN($N104,Aannames!$B$5)*Aannames!$C$5+MAX(0,MIN($N104,Aannames!$B$6)-Aannames!$B$5)*Aannames!$C$6+MAX(0,MIN($N104,Aannames!$B$7)-Aannames!$B$6)*Aannames!$C$7+MAX(0,$N104-Aannames!$B$7)*Aannames!$C$8,Aannames!$B$9)+Aannames!$B$10)</f>
        <v/>
      </c>
      <c r="P104" s="18" t="str">
        <f aca="false">IF($L104="","",IFERROR(_xlfn.SWITCH($L104,"M1",Aannames!$B$16,"M2",Aannames!$B$17,"M3",Aannames!$B$18,"M4",Aannames!$B$19),""))</f>
        <v/>
      </c>
      <c r="Q104" s="17" t="str">
        <f aca="false">IF(OR($O104="",$P104=""),"",IFERROR(_xlfn.SWITCH($L104,"M1",Aannames!$B$10,"M2",Aannames!$B$10+($O104-Aannames!$B$10)*Aannames!$B$12,"M3",Aannames!$B$10+($O104-Aannames!$B$10)*(Aannames!$B$12+Aannames!$B$13),"M4",$O104),0)+($O104-IFERROR(_xlfn.SWITCH($L104,"M1",Aannames!$B$10,"M2",Aannames!$B$10+($O104-Aannames!$B$10)*Aannames!$B$12,"M3",Aannames!$B$10+($O104-Aannames!$B$10)*(Aannames!$B$12+Aannames!$B$13),"M4",$O104),0))*$P104)</f>
        <v/>
      </c>
      <c r="U104" s="15"/>
    </row>
    <row r="105" customFormat="false" ht="15" hidden="false" customHeight="false" outlineLevel="0" collapsed="false">
      <c r="I105" s="15"/>
      <c r="N105" s="16"/>
      <c r="O105" s="17" t="str">
        <f aca="false">IF(OR($N105="",$N105=0),"",MAX(MIN($N105,Aannames!$B$5)*Aannames!$C$5+MAX(0,MIN($N105,Aannames!$B$6)-Aannames!$B$5)*Aannames!$C$6+MAX(0,MIN($N105,Aannames!$B$7)-Aannames!$B$6)*Aannames!$C$7+MAX(0,$N105-Aannames!$B$7)*Aannames!$C$8,Aannames!$B$9)+Aannames!$B$10)</f>
        <v/>
      </c>
      <c r="P105" s="18" t="str">
        <f aca="false">IF($L105="","",IFERROR(_xlfn.SWITCH($L105,"M1",Aannames!$B$16,"M2",Aannames!$B$17,"M3",Aannames!$B$18,"M4",Aannames!$B$19),""))</f>
        <v/>
      </c>
      <c r="Q105" s="17" t="str">
        <f aca="false">IF(OR($O105="",$P105=""),"",IFERROR(_xlfn.SWITCH($L105,"M1",Aannames!$B$10,"M2",Aannames!$B$10+($O105-Aannames!$B$10)*Aannames!$B$12,"M3",Aannames!$B$10+($O105-Aannames!$B$10)*(Aannames!$B$12+Aannames!$B$13),"M4",$O105),0)+($O105-IFERROR(_xlfn.SWITCH($L105,"M1",Aannames!$B$10,"M2",Aannames!$B$10+($O105-Aannames!$B$10)*Aannames!$B$12,"M3",Aannames!$B$10+($O105-Aannames!$B$10)*(Aannames!$B$12+Aannames!$B$13),"M4",$O105),0))*$P105)</f>
        <v/>
      </c>
      <c r="U105" s="15"/>
    </row>
    <row r="106" customFormat="false" ht="15" hidden="false" customHeight="false" outlineLevel="0" collapsed="false">
      <c r="I106" s="15"/>
      <c r="N106" s="16"/>
      <c r="O106" s="17" t="str">
        <f aca="false">IF(OR($N106="",$N106=0),"",MAX(MIN($N106,Aannames!$B$5)*Aannames!$C$5+MAX(0,MIN($N106,Aannames!$B$6)-Aannames!$B$5)*Aannames!$C$6+MAX(0,MIN($N106,Aannames!$B$7)-Aannames!$B$6)*Aannames!$C$7+MAX(0,$N106-Aannames!$B$7)*Aannames!$C$8,Aannames!$B$9)+Aannames!$B$10)</f>
        <v/>
      </c>
      <c r="P106" s="18" t="str">
        <f aca="false">IF($L106="","",IFERROR(_xlfn.SWITCH($L106,"M1",Aannames!$B$16,"M2",Aannames!$B$17,"M3",Aannames!$B$18,"M4",Aannames!$B$19),""))</f>
        <v/>
      </c>
      <c r="Q106" s="17" t="str">
        <f aca="false">IF(OR($O106="",$P106=""),"",IFERROR(_xlfn.SWITCH($L106,"M1",Aannames!$B$10,"M2",Aannames!$B$10+($O106-Aannames!$B$10)*Aannames!$B$12,"M3",Aannames!$B$10+($O106-Aannames!$B$10)*(Aannames!$B$12+Aannames!$B$13),"M4",$O106),0)+($O106-IFERROR(_xlfn.SWITCH($L106,"M1",Aannames!$B$10,"M2",Aannames!$B$10+($O106-Aannames!$B$10)*Aannames!$B$12,"M3",Aannames!$B$10+($O106-Aannames!$B$10)*(Aannames!$B$12+Aannames!$B$13),"M4",$O106),0))*$P106)</f>
        <v/>
      </c>
      <c r="U106" s="15"/>
    </row>
    <row r="107" customFormat="false" ht="15" hidden="false" customHeight="false" outlineLevel="0" collapsed="false">
      <c r="I107" s="15"/>
      <c r="N107" s="16"/>
      <c r="O107" s="17" t="str">
        <f aca="false">IF(OR($N107="",$N107=0),"",MAX(MIN($N107,Aannames!$B$5)*Aannames!$C$5+MAX(0,MIN($N107,Aannames!$B$6)-Aannames!$B$5)*Aannames!$C$6+MAX(0,MIN($N107,Aannames!$B$7)-Aannames!$B$6)*Aannames!$C$7+MAX(0,$N107-Aannames!$B$7)*Aannames!$C$8,Aannames!$B$9)+Aannames!$B$10)</f>
        <v/>
      </c>
      <c r="P107" s="18" t="str">
        <f aca="false">IF($L107="","",IFERROR(_xlfn.SWITCH($L107,"M1",Aannames!$B$16,"M2",Aannames!$B$17,"M3",Aannames!$B$18,"M4",Aannames!$B$19),""))</f>
        <v/>
      </c>
      <c r="Q107" s="17" t="str">
        <f aca="false">IF(OR($O107="",$P107=""),"",IFERROR(_xlfn.SWITCH($L107,"M1",Aannames!$B$10,"M2",Aannames!$B$10+($O107-Aannames!$B$10)*Aannames!$B$12,"M3",Aannames!$B$10+($O107-Aannames!$B$10)*(Aannames!$B$12+Aannames!$B$13),"M4",$O107),0)+($O107-IFERROR(_xlfn.SWITCH($L107,"M1",Aannames!$B$10,"M2",Aannames!$B$10+($O107-Aannames!$B$10)*Aannames!$B$12,"M3",Aannames!$B$10+($O107-Aannames!$B$10)*(Aannames!$B$12+Aannames!$B$13),"M4",$O107),0))*$P107)</f>
        <v/>
      </c>
      <c r="U107" s="15"/>
    </row>
    <row r="108" customFormat="false" ht="15" hidden="false" customHeight="false" outlineLevel="0" collapsed="false">
      <c r="I108" s="15"/>
      <c r="N108" s="16"/>
      <c r="O108" s="17" t="str">
        <f aca="false">IF(OR($N108="",$N108=0),"",MAX(MIN($N108,Aannames!$B$5)*Aannames!$C$5+MAX(0,MIN($N108,Aannames!$B$6)-Aannames!$B$5)*Aannames!$C$6+MAX(0,MIN($N108,Aannames!$B$7)-Aannames!$B$6)*Aannames!$C$7+MAX(0,$N108-Aannames!$B$7)*Aannames!$C$8,Aannames!$B$9)+Aannames!$B$10)</f>
        <v/>
      </c>
      <c r="P108" s="18" t="str">
        <f aca="false">IF($L108="","",IFERROR(_xlfn.SWITCH($L108,"M1",Aannames!$B$16,"M2",Aannames!$B$17,"M3",Aannames!$B$18,"M4",Aannames!$B$19),""))</f>
        <v/>
      </c>
      <c r="Q108" s="17" t="str">
        <f aca="false">IF(OR($O108="",$P108=""),"",IFERROR(_xlfn.SWITCH($L108,"M1",Aannames!$B$10,"M2",Aannames!$B$10+($O108-Aannames!$B$10)*Aannames!$B$12,"M3",Aannames!$B$10+($O108-Aannames!$B$10)*(Aannames!$B$12+Aannames!$B$13),"M4",$O108),0)+($O108-IFERROR(_xlfn.SWITCH($L108,"M1",Aannames!$B$10,"M2",Aannames!$B$10+($O108-Aannames!$B$10)*Aannames!$B$12,"M3",Aannames!$B$10+($O108-Aannames!$B$10)*(Aannames!$B$12+Aannames!$B$13),"M4",$O108),0))*$P108)</f>
        <v/>
      </c>
      <c r="U108" s="15"/>
    </row>
    <row r="109" customFormat="false" ht="15" hidden="false" customHeight="false" outlineLevel="0" collapsed="false">
      <c r="I109" s="15"/>
      <c r="N109" s="16"/>
      <c r="O109" s="17" t="str">
        <f aca="false">IF(OR($N109="",$N109=0),"",MAX(MIN($N109,Aannames!$B$5)*Aannames!$C$5+MAX(0,MIN($N109,Aannames!$B$6)-Aannames!$B$5)*Aannames!$C$6+MAX(0,MIN($N109,Aannames!$B$7)-Aannames!$B$6)*Aannames!$C$7+MAX(0,$N109-Aannames!$B$7)*Aannames!$C$8,Aannames!$B$9)+Aannames!$B$10)</f>
        <v/>
      </c>
      <c r="P109" s="18" t="str">
        <f aca="false">IF($L109="","",IFERROR(_xlfn.SWITCH($L109,"M1",Aannames!$B$16,"M2",Aannames!$B$17,"M3",Aannames!$B$18,"M4",Aannames!$B$19),""))</f>
        <v/>
      </c>
      <c r="Q109" s="17" t="str">
        <f aca="false">IF(OR($O109="",$P109=""),"",IFERROR(_xlfn.SWITCH($L109,"M1",Aannames!$B$10,"M2",Aannames!$B$10+($O109-Aannames!$B$10)*Aannames!$B$12,"M3",Aannames!$B$10+($O109-Aannames!$B$10)*(Aannames!$B$12+Aannames!$B$13),"M4",$O109),0)+($O109-IFERROR(_xlfn.SWITCH($L109,"M1",Aannames!$B$10,"M2",Aannames!$B$10+($O109-Aannames!$B$10)*Aannames!$B$12,"M3",Aannames!$B$10+($O109-Aannames!$B$10)*(Aannames!$B$12+Aannames!$B$13),"M4",$O109),0))*$P109)</f>
        <v/>
      </c>
      <c r="U109" s="15"/>
    </row>
    <row r="110" customFormat="false" ht="15" hidden="false" customHeight="false" outlineLevel="0" collapsed="false">
      <c r="I110" s="15"/>
      <c r="N110" s="16"/>
      <c r="O110" s="17" t="str">
        <f aca="false">IF(OR($N110="",$N110=0),"",MAX(MIN($N110,Aannames!$B$5)*Aannames!$C$5+MAX(0,MIN($N110,Aannames!$B$6)-Aannames!$B$5)*Aannames!$C$6+MAX(0,MIN($N110,Aannames!$B$7)-Aannames!$B$6)*Aannames!$C$7+MAX(0,$N110-Aannames!$B$7)*Aannames!$C$8,Aannames!$B$9)+Aannames!$B$10)</f>
        <v/>
      </c>
      <c r="P110" s="18" t="str">
        <f aca="false">IF($L110="","",IFERROR(_xlfn.SWITCH($L110,"M1",Aannames!$B$16,"M2",Aannames!$B$17,"M3",Aannames!$B$18,"M4",Aannames!$B$19),""))</f>
        <v/>
      </c>
      <c r="Q110" s="17" t="str">
        <f aca="false">IF(OR($O110="",$P110=""),"",IFERROR(_xlfn.SWITCH($L110,"M1",Aannames!$B$10,"M2",Aannames!$B$10+($O110-Aannames!$B$10)*Aannames!$B$12,"M3",Aannames!$B$10+($O110-Aannames!$B$10)*(Aannames!$B$12+Aannames!$B$13),"M4",$O110),0)+($O110-IFERROR(_xlfn.SWITCH($L110,"M1",Aannames!$B$10,"M2",Aannames!$B$10+($O110-Aannames!$B$10)*Aannames!$B$12,"M3",Aannames!$B$10+($O110-Aannames!$B$10)*(Aannames!$B$12+Aannames!$B$13),"M4",$O110),0))*$P110)</f>
        <v/>
      </c>
      <c r="U110" s="15"/>
    </row>
    <row r="111" customFormat="false" ht="15" hidden="false" customHeight="false" outlineLevel="0" collapsed="false">
      <c r="I111" s="15"/>
      <c r="N111" s="16"/>
      <c r="O111" s="17" t="str">
        <f aca="false">IF(OR($N111="",$N111=0),"",MAX(MIN($N111,Aannames!$B$5)*Aannames!$C$5+MAX(0,MIN($N111,Aannames!$B$6)-Aannames!$B$5)*Aannames!$C$6+MAX(0,MIN($N111,Aannames!$B$7)-Aannames!$B$6)*Aannames!$C$7+MAX(0,$N111-Aannames!$B$7)*Aannames!$C$8,Aannames!$B$9)+Aannames!$B$10)</f>
        <v/>
      </c>
      <c r="P111" s="18" t="str">
        <f aca="false">IF($L111="","",IFERROR(_xlfn.SWITCH($L111,"M1",Aannames!$B$16,"M2",Aannames!$B$17,"M3",Aannames!$B$18,"M4",Aannames!$B$19),""))</f>
        <v/>
      </c>
      <c r="Q111" s="17" t="str">
        <f aca="false">IF(OR($O111="",$P111=""),"",IFERROR(_xlfn.SWITCH($L111,"M1",Aannames!$B$10,"M2",Aannames!$B$10+($O111-Aannames!$B$10)*Aannames!$B$12,"M3",Aannames!$B$10+($O111-Aannames!$B$10)*(Aannames!$B$12+Aannames!$B$13),"M4",$O111),0)+($O111-IFERROR(_xlfn.SWITCH($L111,"M1",Aannames!$B$10,"M2",Aannames!$B$10+($O111-Aannames!$B$10)*Aannames!$B$12,"M3",Aannames!$B$10+($O111-Aannames!$B$10)*(Aannames!$B$12+Aannames!$B$13),"M4",$O111),0))*$P111)</f>
        <v/>
      </c>
      <c r="U111" s="15"/>
    </row>
    <row r="112" customFormat="false" ht="15" hidden="false" customHeight="false" outlineLevel="0" collapsed="false">
      <c r="I112" s="15"/>
      <c r="N112" s="16"/>
      <c r="O112" s="17" t="str">
        <f aca="false">IF(OR($N112="",$N112=0),"",MAX(MIN($N112,Aannames!$B$5)*Aannames!$C$5+MAX(0,MIN($N112,Aannames!$B$6)-Aannames!$B$5)*Aannames!$C$6+MAX(0,MIN($N112,Aannames!$B$7)-Aannames!$B$6)*Aannames!$C$7+MAX(0,$N112-Aannames!$B$7)*Aannames!$C$8,Aannames!$B$9)+Aannames!$B$10)</f>
        <v/>
      </c>
      <c r="P112" s="18" t="str">
        <f aca="false">IF($L112="","",IFERROR(_xlfn.SWITCH($L112,"M1",Aannames!$B$16,"M2",Aannames!$B$17,"M3",Aannames!$B$18,"M4",Aannames!$B$19),""))</f>
        <v/>
      </c>
      <c r="Q112" s="17" t="str">
        <f aca="false">IF(OR($O112="",$P112=""),"",IFERROR(_xlfn.SWITCH($L112,"M1",Aannames!$B$10,"M2",Aannames!$B$10+($O112-Aannames!$B$10)*Aannames!$B$12,"M3",Aannames!$B$10+($O112-Aannames!$B$10)*(Aannames!$B$12+Aannames!$B$13),"M4",$O112),0)+($O112-IFERROR(_xlfn.SWITCH($L112,"M1",Aannames!$B$10,"M2",Aannames!$B$10+($O112-Aannames!$B$10)*Aannames!$B$12,"M3",Aannames!$B$10+($O112-Aannames!$B$10)*(Aannames!$B$12+Aannames!$B$13),"M4",$O112),0))*$P112)</f>
        <v/>
      </c>
      <c r="U112" s="15"/>
    </row>
    <row r="113" customFormat="false" ht="15" hidden="false" customHeight="false" outlineLevel="0" collapsed="false">
      <c r="I113" s="15"/>
      <c r="N113" s="16"/>
      <c r="O113" s="17" t="str">
        <f aca="false">IF(OR($N113="",$N113=0),"",MAX(MIN($N113,Aannames!$B$5)*Aannames!$C$5+MAX(0,MIN($N113,Aannames!$B$6)-Aannames!$B$5)*Aannames!$C$6+MAX(0,MIN($N113,Aannames!$B$7)-Aannames!$B$6)*Aannames!$C$7+MAX(0,$N113-Aannames!$B$7)*Aannames!$C$8,Aannames!$B$9)+Aannames!$B$10)</f>
        <v/>
      </c>
      <c r="P113" s="18" t="str">
        <f aca="false">IF($L113="","",IFERROR(_xlfn.SWITCH($L113,"M1",Aannames!$B$16,"M2",Aannames!$B$17,"M3",Aannames!$B$18,"M4",Aannames!$B$19),""))</f>
        <v/>
      </c>
      <c r="Q113" s="17" t="str">
        <f aca="false">IF(OR($O113="",$P113=""),"",IFERROR(_xlfn.SWITCH($L113,"M1",Aannames!$B$10,"M2",Aannames!$B$10+($O113-Aannames!$B$10)*Aannames!$B$12,"M3",Aannames!$B$10+($O113-Aannames!$B$10)*(Aannames!$B$12+Aannames!$B$13),"M4",$O113),0)+($O113-IFERROR(_xlfn.SWITCH($L113,"M1",Aannames!$B$10,"M2",Aannames!$B$10+($O113-Aannames!$B$10)*Aannames!$B$12,"M3",Aannames!$B$10+($O113-Aannames!$B$10)*(Aannames!$B$12+Aannames!$B$13),"M4",$O113),0))*$P113)</f>
        <v/>
      </c>
      <c r="U113" s="15"/>
    </row>
    <row r="114" customFormat="false" ht="15" hidden="false" customHeight="false" outlineLevel="0" collapsed="false">
      <c r="I114" s="15"/>
      <c r="N114" s="16"/>
      <c r="O114" s="17" t="str">
        <f aca="false">IF(OR($N114="",$N114=0),"",MAX(MIN($N114,Aannames!$B$5)*Aannames!$C$5+MAX(0,MIN($N114,Aannames!$B$6)-Aannames!$B$5)*Aannames!$C$6+MAX(0,MIN($N114,Aannames!$B$7)-Aannames!$B$6)*Aannames!$C$7+MAX(0,$N114-Aannames!$B$7)*Aannames!$C$8,Aannames!$B$9)+Aannames!$B$10)</f>
        <v/>
      </c>
      <c r="P114" s="18" t="str">
        <f aca="false">IF($L114="","",IFERROR(_xlfn.SWITCH($L114,"M1",Aannames!$B$16,"M2",Aannames!$B$17,"M3",Aannames!$B$18,"M4",Aannames!$B$19),""))</f>
        <v/>
      </c>
      <c r="Q114" s="17" t="str">
        <f aca="false">IF(OR($O114="",$P114=""),"",IFERROR(_xlfn.SWITCH($L114,"M1",Aannames!$B$10,"M2",Aannames!$B$10+($O114-Aannames!$B$10)*Aannames!$B$12,"M3",Aannames!$B$10+($O114-Aannames!$B$10)*(Aannames!$B$12+Aannames!$B$13),"M4",$O114),0)+($O114-IFERROR(_xlfn.SWITCH($L114,"M1",Aannames!$B$10,"M2",Aannames!$B$10+($O114-Aannames!$B$10)*Aannames!$B$12,"M3",Aannames!$B$10+($O114-Aannames!$B$10)*(Aannames!$B$12+Aannames!$B$13),"M4",$O114),0))*$P114)</f>
        <v/>
      </c>
      <c r="U114" s="15"/>
    </row>
    <row r="115" customFormat="false" ht="15" hidden="false" customHeight="false" outlineLevel="0" collapsed="false">
      <c r="I115" s="15"/>
      <c r="N115" s="16"/>
      <c r="O115" s="17" t="str">
        <f aca="false">IF(OR($N115="",$N115=0),"",MAX(MIN($N115,Aannames!$B$5)*Aannames!$C$5+MAX(0,MIN($N115,Aannames!$B$6)-Aannames!$B$5)*Aannames!$C$6+MAX(0,MIN($N115,Aannames!$B$7)-Aannames!$B$6)*Aannames!$C$7+MAX(0,$N115-Aannames!$B$7)*Aannames!$C$8,Aannames!$B$9)+Aannames!$B$10)</f>
        <v/>
      </c>
      <c r="P115" s="18" t="str">
        <f aca="false">IF($L115="","",IFERROR(_xlfn.SWITCH($L115,"M1",Aannames!$B$16,"M2",Aannames!$B$17,"M3",Aannames!$B$18,"M4",Aannames!$B$19),""))</f>
        <v/>
      </c>
      <c r="Q115" s="17" t="str">
        <f aca="false">IF(OR($O115="",$P115=""),"",IFERROR(_xlfn.SWITCH($L115,"M1",Aannames!$B$10,"M2",Aannames!$B$10+($O115-Aannames!$B$10)*Aannames!$B$12,"M3",Aannames!$B$10+($O115-Aannames!$B$10)*(Aannames!$B$12+Aannames!$B$13),"M4",$O115),0)+($O115-IFERROR(_xlfn.SWITCH($L115,"M1",Aannames!$B$10,"M2",Aannames!$B$10+($O115-Aannames!$B$10)*Aannames!$B$12,"M3",Aannames!$B$10+($O115-Aannames!$B$10)*(Aannames!$B$12+Aannames!$B$13),"M4",$O115),0))*$P115)</f>
        <v/>
      </c>
      <c r="U115" s="15"/>
    </row>
    <row r="116" customFormat="false" ht="15" hidden="false" customHeight="false" outlineLevel="0" collapsed="false">
      <c r="I116" s="15"/>
      <c r="N116" s="16"/>
      <c r="O116" s="17" t="str">
        <f aca="false">IF(OR($N116="",$N116=0),"",MAX(MIN($N116,Aannames!$B$5)*Aannames!$C$5+MAX(0,MIN($N116,Aannames!$B$6)-Aannames!$B$5)*Aannames!$C$6+MAX(0,MIN($N116,Aannames!$B$7)-Aannames!$B$6)*Aannames!$C$7+MAX(0,$N116-Aannames!$B$7)*Aannames!$C$8,Aannames!$B$9)+Aannames!$B$10)</f>
        <v/>
      </c>
      <c r="P116" s="18" t="str">
        <f aca="false">IF($L116="","",IFERROR(_xlfn.SWITCH($L116,"M1",Aannames!$B$16,"M2",Aannames!$B$17,"M3",Aannames!$B$18,"M4",Aannames!$B$19),""))</f>
        <v/>
      </c>
      <c r="Q116" s="17" t="str">
        <f aca="false">IF(OR($O116="",$P116=""),"",IFERROR(_xlfn.SWITCH($L116,"M1",Aannames!$B$10,"M2",Aannames!$B$10+($O116-Aannames!$B$10)*Aannames!$B$12,"M3",Aannames!$B$10+($O116-Aannames!$B$10)*(Aannames!$B$12+Aannames!$B$13),"M4",$O116),0)+($O116-IFERROR(_xlfn.SWITCH($L116,"M1",Aannames!$B$10,"M2",Aannames!$B$10+($O116-Aannames!$B$10)*Aannames!$B$12,"M3",Aannames!$B$10+($O116-Aannames!$B$10)*(Aannames!$B$12+Aannames!$B$13),"M4",$O116),0))*$P116)</f>
        <v/>
      </c>
      <c r="U116" s="15"/>
    </row>
    <row r="117" customFormat="false" ht="15" hidden="false" customHeight="false" outlineLevel="0" collapsed="false">
      <c r="I117" s="15"/>
      <c r="N117" s="16"/>
      <c r="O117" s="17" t="str">
        <f aca="false">IF(OR($N117="",$N117=0),"",MAX(MIN($N117,Aannames!$B$5)*Aannames!$C$5+MAX(0,MIN($N117,Aannames!$B$6)-Aannames!$B$5)*Aannames!$C$6+MAX(0,MIN($N117,Aannames!$B$7)-Aannames!$B$6)*Aannames!$C$7+MAX(0,$N117-Aannames!$B$7)*Aannames!$C$8,Aannames!$B$9)+Aannames!$B$10)</f>
        <v/>
      </c>
      <c r="P117" s="18" t="str">
        <f aca="false">IF($L117="","",IFERROR(_xlfn.SWITCH($L117,"M1",Aannames!$B$16,"M2",Aannames!$B$17,"M3",Aannames!$B$18,"M4",Aannames!$B$19),""))</f>
        <v/>
      </c>
      <c r="Q117" s="17" t="str">
        <f aca="false">IF(OR($O117="",$P117=""),"",IFERROR(_xlfn.SWITCH($L117,"M1",Aannames!$B$10,"M2",Aannames!$B$10+($O117-Aannames!$B$10)*Aannames!$B$12,"M3",Aannames!$B$10+($O117-Aannames!$B$10)*(Aannames!$B$12+Aannames!$B$13),"M4",$O117),0)+($O117-IFERROR(_xlfn.SWITCH($L117,"M1",Aannames!$B$10,"M2",Aannames!$B$10+($O117-Aannames!$B$10)*Aannames!$B$12,"M3",Aannames!$B$10+($O117-Aannames!$B$10)*(Aannames!$B$12+Aannames!$B$13),"M4",$O117),0))*$P117)</f>
        <v/>
      </c>
      <c r="U117" s="15"/>
    </row>
    <row r="118" customFormat="false" ht="15" hidden="false" customHeight="false" outlineLevel="0" collapsed="false">
      <c r="I118" s="15"/>
      <c r="N118" s="16"/>
      <c r="O118" s="17" t="str">
        <f aca="false">IF(OR($N118="",$N118=0),"",MAX(MIN($N118,Aannames!$B$5)*Aannames!$C$5+MAX(0,MIN($N118,Aannames!$B$6)-Aannames!$B$5)*Aannames!$C$6+MAX(0,MIN($N118,Aannames!$B$7)-Aannames!$B$6)*Aannames!$C$7+MAX(0,$N118-Aannames!$B$7)*Aannames!$C$8,Aannames!$B$9)+Aannames!$B$10)</f>
        <v/>
      </c>
      <c r="P118" s="18" t="str">
        <f aca="false">IF($L118="","",IFERROR(_xlfn.SWITCH($L118,"M1",Aannames!$B$16,"M2",Aannames!$B$17,"M3",Aannames!$B$18,"M4",Aannames!$B$19),""))</f>
        <v/>
      </c>
      <c r="Q118" s="17" t="str">
        <f aca="false">IF(OR($O118="",$P118=""),"",IFERROR(_xlfn.SWITCH($L118,"M1",Aannames!$B$10,"M2",Aannames!$B$10+($O118-Aannames!$B$10)*Aannames!$B$12,"M3",Aannames!$B$10+($O118-Aannames!$B$10)*(Aannames!$B$12+Aannames!$B$13),"M4",$O118),0)+($O118-IFERROR(_xlfn.SWITCH($L118,"M1",Aannames!$B$10,"M2",Aannames!$B$10+($O118-Aannames!$B$10)*Aannames!$B$12,"M3",Aannames!$B$10+($O118-Aannames!$B$10)*(Aannames!$B$12+Aannames!$B$13),"M4",$O118),0))*$P118)</f>
        <v/>
      </c>
      <c r="U118" s="15"/>
    </row>
    <row r="119" customFormat="false" ht="15" hidden="false" customHeight="false" outlineLevel="0" collapsed="false">
      <c r="I119" s="15"/>
      <c r="N119" s="16"/>
      <c r="O119" s="17" t="str">
        <f aca="false">IF(OR($N119="",$N119=0),"",MAX(MIN($N119,Aannames!$B$5)*Aannames!$C$5+MAX(0,MIN($N119,Aannames!$B$6)-Aannames!$B$5)*Aannames!$C$6+MAX(0,MIN($N119,Aannames!$B$7)-Aannames!$B$6)*Aannames!$C$7+MAX(0,$N119-Aannames!$B$7)*Aannames!$C$8,Aannames!$B$9)+Aannames!$B$10)</f>
        <v/>
      </c>
      <c r="P119" s="18" t="str">
        <f aca="false">IF($L119="","",IFERROR(_xlfn.SWITCH($L119,"M1",Aannames!$B$16,"M2",Aannames!$B$17,"M3",Aannames!$B$18,"M4",Aannames!$B$19),""))</f>
        <v/>
      </c>
      <c r="Q119" s="17" t="str">
        <f aca="false">IF(OR($O119="",$P119=""),"",IFERROR(_xlfn.SWITCH($L119,"M1",Aannames!$B$10,"M2",Aannames!$B$10+($O119-Aannames!$B$10)*Aannames!$B$12,"M3",Aannames!$B$10+($O119-Aannames!$B$10)*(Aannames!$B$12+Aannames!$B$13),"M4",$O119),0)+($O119-IFERROR(_xlfn.SWITCH($L119,"M1",Aannames!$B$10,"M2",Aannames!$B$10+($O119-Aannames!$B$10)*Aannames!$B$12,"M3",Aannames!$B$10+($O119-Aannames!$B$10)*(Aannames!$B$12+Aannames!$B$13),"M4",$O119),0))*$P119)</f>
        <v/>
      </c>
      <c r="U119" s="15"/>
    </row>
    <row r="120" customFormat="false" ht="15" hidden="false" customHeight="false" outlineLevel="0" collapsed="false">
      <c r="I120" s="15"/>
      <c r="N120" s="16"/>
      <c r="O120" s="17" t="str">
        <f aca="false">IF(OR($N120="",$N120=0),"",MAX(MIN($N120,Aannames!$B$5)*Aannames!$C$5+MAX(0,MIN($N120,Aannames!$B$6)-Aannames!$B$5)*Aannames!$C$6+MAX(0,MIN($N120,Aannames!$B$7)-Aannames!$B$6)*Aannames!$C$7+MAX(0,$N120-Aannames!$B$7)*Aannames!$C$8,Aannames!$B$9)+Aannames!$B$10)</f>
        <v/>
      </c>
      <c r="P120" s="18" t="str">
        <f aca="false">IF($L120="","",IFERROR(_xlfn.SWITCH($L120,"M1",Aannames!$B$16,"M2",Aannames!$B$17,"M3",Aannames!$B$18,"M4",Aannames!$B$19),""))</f>
        <v/>
      </c>
      <c r="Q120" s="17" t="str">
        <f aca="false">IF(OR($O120="",$P120=""),"",IFERROR(_xlfn.SWITCH($L120,"M1",Aannames!$B$10,"M2",Aannames!$B$10+($O120-Aannames!$B$10)*Aannames!$B$12,"M3",Aannames!$B$10+($O120-Aannames!$B$10)*(Aannames!$B$12+Aannames!$B$13),"M4",$O120),0)+($O120-IFERROR(_xlfn.SWITCH($L120,"M1",Aannames!$B$10,"M2",Aannames!$B$10+($O120-Aannames!$B$10)*Aannames!$B$12,"M3",Aannames!$B$10+($O120-Aannames!$B$10)*(Aannames!$B$12+Aannames!$B$13),"M4",$O120),0))*$P120)</f>
        <v/>
      </c>
      <c r="U120" s="15"/>
    </row>
    <row r="121" customFormat="false" ht="15" hidden="false" customHeight="false" outlineLevel="0" collapsed="false">
      <c r="I121" s="15"/>
      <c r="N121" s="16"/>
      <c r="O121" s="17" t="str">
        <f aca="false">IF(OR($N121="",$N121=0),"",MAX(MIN($N121,Aannames!$B$5)*Aannames!$C$5+MAX(0,MIN($N121,Aannames!$B$6)-Aannames!$B$5)*Aannames!$C$6+MAX(0,MIN($N121,Aannames!$B$7)-Aannames!$B$6)*Aannames!$C$7+MAX(0,$N121-Aannames!$B$7)*Aannames!$C$8,Aannames!$B$9)+Aannames!$B$10)</f>
        <v/>
      </c>
      <c r="P121" s="18" t="str">
        <f aca="false">IF($L121="","",IFERROR(_xlfn.SWITCH($L121,"M1",Aannames!$B$16,"M2",Aannames!$B$17,"M3",Aannames!$B$18,"M4",Aannames!$B$19),""))</f>
        <v/>
      </c>
      <c r="Q121" s="17" t="str">
        <f aca="false">IF(OR($O121="",$P121=""),"",IFERROR(_xlfn.SWITCH($L121,"M1",Aannames!$B$10,"M2",Aannames!$B$10+($O121-Aannames!$B$10)*Aannames!$B$12,"M3",Aannames!$B$10+($O121-Aannames!$B$10)*(Aannames!$B$12+Aannames!$B$13),"M4",$O121),0)+($O121-IFERROR(_xlfn.SWITCH($L121,"M1",Aannames!$B$10,"M2",Aannames!$B$10+($O121-Aannames!$B$10)*Aannames!$B$12,"M3",Aannames!$B$10+($O121-Aannames!$B$10)*(Aannames!$B$12+Aannames!$B$13),"M4",$O121),0))*$P121)</f>
        <v/>
      </c>
      <c r="U121" s="15"/>
    </row>
    <row r="122" customFormat="false" ht="15" hidden="false" customHeight="false" outlineLevel="0" collapsed="false">
      <c r="I122" s="15"/>
      <c r="N122" s="16"/>
      <c r="O122" s="17" t="str">
        <f aca="false">IF(OR($N122="",$N122=0),"",MAX(MIN($N122,Aannames!$B$5)*Aannames!$C$5+MAX(0,MIN($N122,Aannames!$B$6)-Aannames!$B$5)*Aannames!$C$6+MAX(0,MIN($N122,Aannames!$B$7)-Aannames!$B$6)*Aannames!$C$7+MAX(0,$N122-Aannames!$B$7)*Aannames!$C$8,Aannames!$B$9)+Aannames!$B$10)</f>
        <v/>
      </c>
      <c r="P122" s="18" t="str">
        <f aca="false">IF($L122="","",IFERROR(_xlfn.SWITCH($L122,"M1",Aannames!$B$16,"M2",Aannames!$B$17,"M3",Aannames!$B$18,"M4",Aannames!$B$19),""))</f>
        <v/>
      </c>
      <c r="Q122" s="17" t="str">
        <f aca="false">IF(OR($O122="",$P122=""),"",IFERROR(_xlfn.SWITCH($L122,"M1",Aannames!$B$10,"M2",Aannames!$B$10+($O122-Aannames!$B$10)*Aannames!$B$12,"M3",Aannames!$B$10+($O122-Aannames!$B$10)*(Aannames!$B$12+Aannames!$B$13),"M4",$O122),0)+($O122-IFERROR(_xlfn.SWITCH($L122,"M1",Aannames!$B$10,"M2",Aannames!$B$10+($O122-Aannames!$B$10)*Aannames!$B$12,"M3",Aannames!$B$10+($O122-Aannames!$B$10)*(Aannames!$B$12+Aannames!$B$13),"M4",$O122),0))*$P122)</f>
        <v/>
      </c>
      <c r="U122" s="15"/>
    </row>
    <row r="123" customFormat="false" ht="15" hidden="false" customHeight="false" outlineLevel="0" collapsed="false">
      <c r="I123" s="15"/>
      <c r="N123" s="16"/>
      <c r="O123" s="17" t="str">
        <f aca="false">IF(OR($N123="",$N123=0),"",MAX(MIN($N123,Aannames!$B$5)*Aannames!$C$5+MAX(0,MIN($N123,Aannames!$B$6)-Aannames!$B$5)*Aannames!$C$6+MAX(0,MIN($N123,Aannames!$B$7)-Aannames!$B$6)*Aannames!$C$7+MAX(0,$N123-Aannames!$B$7)*Aannames!$C$8,Aannames!$B$9)+Aannames!$B$10)</f>
        <v/>
      </c>
      <c r="P123" s="18" t="str">
        <f aca="false">IF($L123="","",IFERROR(_xlfn.SWITCH($L123,"M1",Aannames!$B$16,"M2",Aannames!$B$17,"M3",Aannames!$B$18,"M4",Aannames!$B$19),""))</f>
        <v/>
      </c>
      <c r="Q123" s="17" t="str">
        <f aca="false">IF(OR($O123="",$P123=""),"",IFERROR(_xlfn.SWITCH($L123,"M1",Aannames!$B$10,"M2",Aannames!$B$10+($O123-Aannames!$B$10)*Aannames!$B$12,"M3",Aannames!$B$10+($O123-Aannames!$B$10)*(Aannames!$B$12+Aannames!$B$13),"M4",$O123),0)+($O123-IFERROR(_xlfn.SWITCH($L123,"M1",Aannames!$B$10,"M2",Aannames!$B$10+($O123-Aannames!$B$10)*Aannames!$B$12,"M3",Aannames!$B$10+($O123-Aannames!$B$10)*(Aannames!$B$12+Aannames!$B$13),"M4",$O123),0))*$P123)</f>
        <v/>
      </c>
      <c r="U123" s="15"/>
    </row>
    <row r="124" customFormat="false" ht="15" hidden="false" customHeight="false" outlineLevel="0" collapsed="false">
      <c r="I124" s="15"/>
      <c r="N124" s="16"/>
      <c r="O124" s="17" t="str">
        <f aca="false">IF(OR($N124="",$N124=0),"",MAX(MIN($N124,Aannames!$B$5)*Aannames!$C$5+MAX(0,MIN($N124,Aannames!$B$6)-Aannames!$B$5)*Aannames!$C$6+MAX(0,MIN($N124,Aannames!$B$7)-Aannames!$B$6)*Aannames!$C$7+MAX(0,$N124-Aannames!$B$7)*Aannames!$C$8,Aannames!$B$9)+Aannames!$B$10)</f>
        <v/>
      </c>
      <c r="P124" s="18" t="str">
        <f aca="false">IF($L124="","",IFERROR(_xlfn.SWITCH($L124,"M1",Aannames!$B$16,"M2",Aannames!$B$17,"M3",Aannames!$B$18,"M4",Aannames!$B$19),""))</f>
        <v/>
      </c>
      <c r="Q124" s="17" t="str">
        <f aca="false">IF(OR($O124="",$P124=""),"",IFERROR(_xlfn.SWITCH($L124,"M1",Aannames!$B$10,"M2",Aannames!$B$10+($O124-Aannames!$B$10)*Aannames!$B$12,"M3",Aannames!$B$10+($O124-Aannames!$B$10)*(Aannames!$B$12+Aannames!$B$13),"M4",$O124),0)+($O124-IFERROR(_xlfn.SWITCH($L124,"M1",Aannames!$B$10,"M2",Aannames!$B$10+($O124-Aannames!$B$10)*Aannames!$B$12,"M3",Aannames!$B$10+($O124-Aannames!$B$10)*(Aannames!$B$12+Aannames!$B$13),"M4",$O124),0))*$P124)</f>
        <v/>
      </c>
      <c r="U124" s="15"/>
    </row>
    <row r="125" customFormat="false" ht="15" hidden="false" customHeight="false" outlineLevel="0" collapsed="false">
      <c r="I125" s="15"/>
      <c r="N125" s="16"/>
      <c r="O125" s="17" t="str">
        <f aca="false">IF(OR($N125="",$N125=0),"",MAX(MIN($N125,Aannames!$B$5)*Aannames!$C$5+MAX(0,MIN($N125,Aannames!$B$6)-Aannames!$B$5)*Aannames!$C$6+MAX(0,MIN($N125,Aannames!$B$7)-Aannames!$B$6)*Aannames!$C$7+MAX(0,$N125-Aannames!$B$7)*Aannames!$C$8,Aannames!$B$9)+Aannames!$B$10)</f>
        <v/>
      </c>
      <c r="P125" s="18" t="str">
        <f aca="false">IF($L125="","",IFERROR(_xlfn.SWITCH($L125,"M1",Aannames!$B$16,"M2",Aannames!$B$17,"M3",Aannames!$B$18,"M4",Aannames!$B$19),""))</f>
        <v/>
      </c>
      <c r="Q125" s="17" t="str">
        <f aca="false">IF(OR($O125="",$P125=""),"",IFERROR(_xlfn.SWITCH($L125,"M1",Aannames!$B$10,"M2",Aannames!$B$10+($O125-Aannames!$B$10)*Aannames!$B$12,"M3",Aannames!$B$10+($O125-Aannames!$B$10)*(Aannames!$B$12+Aannames!$B$13),"M4",$O125),0)+($O125-IFERROR(_xlfn.SWITCH($L125,"M1",Aannames!$B$10,"M2",Aannames!$B$10+($O125-Aannames!$B$10)*Aannames!$B$12,"M3",Aannames!$B$10+($O125-Aannames!$B$10)*(Aannames!$B$12+Aannames!$B$13),"M4",$O125),0))*$P125)</f>
        <v/>
      </c>
      <c r="U125" s="15"/>
    </row>
    <row r="126" customFormat="false" ht="15" hidden="false" customHeight="false" outlineLevel="0" collapsed="false">
      <c r="I126" s="15"/>
      <c r="N126" s="16"/>
      <c r="O126" s="17" t="str">
        <f aca="false">IF(OR($N126="",$N126=0),"",MAX(MIN($N126,Aannames!$B$5)*Aannames!$C$5+MAX(0,MIN($N126,Aannames!$B$6)-Aannames!$B$5)*Aannames!$C$6+MAX(0,MIN($N126,Aannames!$B$7)-Aannames!$B$6)*Aannames!$C$7+MAX(0,$N126-Aannames!$B$7)*Aannames!$C$8,Aannames!$B$9)+Aannames!$B$10)</f>
        <v/>
      </c>
      <c r="P126" s="18" t="str">
        <f aca="false">IF($L126="","",IFERROR(_xlfn.SWITCH($L126,"M1",Aannames!$B$16,"M2",Aannames!$B$17,"M3",Aannames!$B$18,"M4",Aannames!$B$19),""))</f>
        <v/>
      </c>
      <c r="Q126" s="17" t="str">
        <f aca="false">IF(OR($O126="",$P126=""),"",IFERROR(_xlfn.SWITCH($L126,"M1",Aannames!$B$10,"M2",Aannames!$B$10+($O126-Aannames!$B$10)*Aannames!$B$12,"M3",Aannames!$B$10+($O126-Aannames!$B$10)*(Aannames!$B$12+Aannames!$B$13),"M4",$O126),0)+($O126-IFERROR(_xlfn.SWITCH($L126,"M1",Aannames!$B$10,"M2",Aannames!$B$10+($O126-Aannames!$B$10)*Aannames!$B$12,"M3",Aannames!$B$10+($O126-Aannames!$B$10)*(Aannames!$B$12+Aannames!$B$13),"M4",$O126),0))*$P126)</f>
        <v/>
      </c>
      <c r="U126" s="15"/>
    </row>
    <row r="127" customFormat="false" ht="15" hidden="false" customHeight="false" outlineLevel="0" collapsed="false">
      <c r="I127" s="15"/>
      <c r="N127" s="16"/>
      <c r="O127" s="17" t="str">
        <f aca="false">IF(OR($N127="",$N127=0),"",MAX(MIN($N127,Aannames!$B$5)*Aannames!$C$5+MAX(0,MIN($N127,Aannames!$B$6)-Aannames!$B$5)*Aannames!$C$6+MAX(0,MIN($N127,Aannames!$B$7)-Aannames!$B$6)*Aannames!$C$7+MAX(0,$N127-Aannames!$B$7)*Aannames!$C$8,Aannames!$B$9)+Aannames!$B$10)</f>
        <v/>
      </c>
      <c r="P127" s="18" t="str">
        <f aca="false">IF($L127="","",IFERROR(_xlfn.SWITCH($L127,"M1",Aannames!$B$16,"M2",Aannames!$B$17,"M3",Aannames!$B$18,"M4",Aannames!$B$19),""))</f>
        <v/>
      </c>
      <c r="Q127" s="17" t="str">
        <f aca="false">IF(OR($O127="",$P127=""),"",IFERROR(_xlfn.SWITCH($L127,"M1",Aannames!$B$10,"M2",Aannames!$B$10+($O127-Aannames!$B$10)*Aannames!$B$12,"M3",Aannames!$B$10+($O127-Aannames!$B$10)*(Aannames!$B$12+Aannames!$B$13),"M4",$O127),0)+($O127-IFERROR(_xlfn.SWITCH($L127,"M1",Aannames!$B$10,"M2",Aannames!$B$10+($O127-Aannames!$B$10)*Aannames!$B$12,"M3",Aannames!$B$10+($O127-Aannames!$B$10)*(Aannames!$B$12+Aannames!$B$13),"M4",$O127),0))*$P127)</f>
        <v/>
      </c>
      <c r="U127" s="15"/>
    </row>
    <row r="128" customFormat="false" ht="15" hidden="false" customHeight="false" outlineLevel="0" collapsed="false">
      <c r="I128" s="15"/>
      <c r="N128" s="16"/>
      <c r="O128" s="17" t="str">
        <f aca="false">IF(OR($N128="",$N128=0),"",MAX(MIN($N128,Aannames!$B$5)*Aannames!$C$5+MAX(0,MIN($N128,Aannames!$B$6)-Aannames!$B$5)*Aannames!$C$6+MAX(0,MIN($N128,Aannames!$B$7)-Aannames!$B$6)*Aannames!$C$7+MAX(0,$N128-Aannames!$B$7)*Aannames!$C$8,Aannames!$B$9)+Aannames!$B$10)</f>
        <v/>
      </c>
      <c r="P128" s="18" t="str">
        <f aca="false">IF($L128="","",IFERROR(_xlfn.SWITCH($L128,"M1",Aannames!$B$16,"M2",Aannames!$B$17,"M3",Aannames!$B$18,"M4",Aannames!$B$19),""))</f>
        <v/>
      </c>
      <c r="Q128" s="17" t="str">
        <f aca="false">IF(OR($O128="",$P128=""),"",IFERROR(_xlfn.SWITCH($L128,"M1",Aannames!$B$10,"M2",Aannames!$B$10+($O128-Aannames!$B$10)*Aannames!$B$12,"M3",Aannames!$B$10+($O128-Aannames!$B$10)*(Aannames!$B$12+Aannames!$B$13),"M4",$O128),0)+($O128-IFERROR(_xlfn.SWITCH($L128,"M1",Aannames!$B$10,"M2",Aannames!$B$10+($O128-Aannames!$B$10)*Aannames!$B$12,"M3",Aannames!$B$10+($O128-Aannames!$B$10)*(Aannames!$B$12+Aannames!$B$13),"M4",$O128),0))*$P128)</f>
        <v/>
      </c>
      <c r="U128" s="15"/>
    </row>
    <row r="129" customFormat="false" ht="15" hidden="false" customHeight="false" outlineLevel="0" collapsed="false">
      <c r="I129" s="15"/>
      <c r="N129" s="16"/>
      <c r="O129" s="17" t="str">
        <f aca="false">IF(OR($N129="",$N129=0),"",MAX(MIN($N129,Aannames!$B$5)*Aannames!$C$5+MAX(0,MIN($N129,Aannames!$B$6)-Aannames!$B$5)*Aannames!$C$6+MAX(0,MIN($N129,Aannames!$B$7)-Aannames!$B$6)*Aannames!$C$7+MAX(0,$N129-Aannames!$B$7)*Aannames!$C$8,Aannames!$B$9)+Aannames!$B$10)</f>
        <v/>
      </c>
      <c r="P129" s="18" t="str">
        <f aca="false">IF($L129="","",IFERROR(_xlfn.SWITCH($L129,"M1",Aannames!$B$16,"M2",Aannames!$B$17,"M3",Aannames!$B$18,"M4",Aannames!$B$19),""))</f>
        <v/>
      </c>
      <c r="Q129" s="17" t="str">
        <f aca="false">IF(OR($O129="",$P129=""),"",IFERROR(_xlfn.SWITCH($L129,"M1",Aannames!$B$10,"M2",Aannames!$B$10+($O129-Aannames!$B$10)*Aannames!$B$12,"M3",Aannames!$B$10+($O129-Aannames!$B$10)*(Aannames!$B$12+Aannames!$B$13),"M4",$O129),0)+($O129-IFERROR(_xlfn.SWITCH($L129,"M1",Aannames!$B$10,"M2",Aannames!$B$10+($O129-Aannames!$B$10)*Aannames!$B$12,"M3",Aannames!$B$10+($O129-Aannames!$B$10)*(Aannames!$B$12+Aannames!$B$13),"M4",$O129),0))*$P129)</f>
        <v/>
      </c>
      <c r="U129" s="15"/>
    </row>
    <row r="130" customFormat="false" ht="15" hidden="false" customHeight="false" outlineLevel="0" collapsed="false">
      <c r="I130" s="15"/>
      <c r="N130" s="16"/>
      <c r="O130" s="17" t="str">
        <f aca="false">IF(OR($N130="",$N130=0),"",MAX(MIN($N130,Aannames!$B$5)*Aannames!$C$5+MAX(0,MIN($N130,Aannames!$B$6)-Aannames!$B$5)*Aannames!$C$6+MAX(0,MIN($N130,Aannames!$B$7)-Aannames!$B$6)*Aannames!$C$7+MAX(0,$N130-Aannames!$B$7)*Aannames!$C$8,Aannames!$B$9)+Aannames!$B$10)</f>
        <v/>
      </c>
      <c r="P130" s="18" t="str">
        <f aca="false">IF($L130="","",IFERROR(_xlfn.SWITCH($L130,"M1",Aannames!$B$16,"M2",Aannames!$B$17,"M3",Aannames!$B$18,"M4",Aannames!$B$19),""))</f>
        <v/>
      </c>
      <c r="Q130" s="17" t="str">
        <f aca="false">IF(OR($O130="",$P130=""),"",IFERROR(_xlfn.SWITCH($L130,"M1",Aannames!$B$10,"M2",Aannames!$B$10+($O130-Aannames!$B$10)*Aannames!$B$12,"M3",Aannames!$B$10+($O130-Aannames!$B$10)*(Aannames!$B$12+Aannames!$B$13),"M4",$O130),0)+($O130-IFERROR(_xlfn.SWITCH($L130,"M1",Aannames!$B$10,"M2",Aannames!$B$10+($O130-Aannames!$B$10)*Aannames!$B$12,"M3",Aannames!$B$10+($O130-Aannames!$B$10)*(Aannames!$B$12+Aannames!$B$13),"M4",$O130),0))*$P130)</f>
        <v/>
      </c>
      <c r="U130" s="15"/>
    </row>
    <row r="131" customFormat="false" ht="15" hidden="false" customHeight="false" outlineLevel="0" collapsed="false">
      <c r="I131" s="15"/>
      <c r="N131" s="16"/>
      <c r="O131" s="17" t="str">
        <f aca="false">IF(OR($N131="",$N131=0),"",MAX(MIN($N131,Aannames!$B$5)*Aannames!$C$5+MAX(0,MIN($N131,Aannames!$B$6)-Aannames!$B$5)*Aannames!$C$6+MAX(0,MIN($N131,Aannames!$B$7)-Aannames!$B$6)*Aannames!$C$7+MAX(0,$N131-Aannames!$B$7)*Aannames!$C$8,Aannames!$B$9)+Aannames!$B$10)</f>
        <v/>
      </c>
      <c r="P131" s="18" t="str">
        <f aca="false">IF($L131="","",IFERROR(_xlfn.SWITCH($L131,"M1",Aannames!$B$16,"M2",Aannames!$B$17,"M3",Aannames!$B$18,"M4",Aannames!$B$19),""))</f>
        <v/>
      </c>
      <c r="Q131" s="17" t="str">
        <f aca="false">IF(OR($O131="",$P131=""),"",IFERROR(_xlfn.SWITCH($L131,"M1",Aannames!$B$10,"M2",Aannames!$B$10+($O131-Aannames!$B$10)*Aannames!$B$12,"M3",Aannames!$B$10+($O131-Aannames!$B$10)*(Aannames!$B$12+Aannames!$B$13),"M4",$O131),0)+($O131-IFERROR(_xlfn.SWITCH($L131,"M1",Aannames!$B$10,"M2",Aannames!$B$10+($O131-Aannames!$B$10)*Aannames!$B$12,"M3",Aannames!$B$10+($O131-Aannames!$B$10)*(Aannames!$B$12+Aannames!$B$13),"M4",$O131),0))*$P131)</f>
        <v/>
      </c>
      <c r="U131" s="15"/>
    </row>
    <row r="132" customFormat="false" ht="15" hidden="false" customHeight="false" outlineLevel="0" collapsed="false">
      <c r="I132" s="15"/>
      <c r="N132" s="16"/>
      <c r="O132" s="17" t="str">
        <f aca="false">IF(OR($N132="",$N132=0),"",MAX(MIN($N132,Aannames!$B$5)*Aannames!$C$5+MAX(0,MIN($N132,Aannames!$B$6)-Aannames!$B$5)*Aannames!$C$6+MAX(0,MIN($N132,Aannames!$B$7)-Aannames!$B$6)*Aannames!$C$7+MAX(0,$N132-Aannames!$B$7)*Aannames!$C$8,Aannames!$B$9)+Aannames!$B$10)</f>
        <v/>
      </c>
      <c r="P132" s="18" t="str">
        <f aca="false">IF($L132="","",IFERROR(_xlfn.SWITCH($L132,"M1",Aannames!$B$16,"M2",Aannames!$B$17,"M3",Aannames!$B$18,"M4",Aannames!$B$19),""))</f>
        <v/>
      </c>
      <c r="Q132" s="17" t="str">
        <f aca="false">IF(OR($O132="",$P132=""),"",IFERROR(_xlfn.SWITCH($L132,"M1",Aannames!$B$10,"M2",Aannames!$B$10+($O132-Aannames!$B$10)*Aannames!$B$12,"M3",Aannames!$B$10+($O132-Aannames!$B$10)*(Aannames!$B$12+Aannames!$B$13),"M4",$O132),0)+($O132-IFERROR(_xlfn.SWITCH($L132,"M1",Aannames!$B$10,"M2",Aannames!$B$10+($O132-Aannames!$B$10)*Aannames!$B$12,"M3",Aannames!$B$10+($O132-Aannames!$B$10)*(Aannames!$B$12+Aannames!$B$13),"M4",$O132),0))*$P132)</f>
        <v/>
      </c>
      <c r="U132" s="15"/>
    </row>
    <row r="133" customFormat="false" ht="15" hidden="false" customHeight="false" outlineLevel="0" collapsed="false">
      <c r="I133" s="15"/>
      <c r="N133" s="16"/>
      <c r="O133" s="17" t="str">
        <f aca="false">IF(OR($N133="",$N133=0),"",MAX(MIN($N133,Aannames!$B$5)*Aannames!$C$5+MAX(0,MIN($N133,Aannames!$B$6)-Aannames!$B$5)*Aannames!$C$6+MAX(0,MIN($N133,Aannames!$B$7)-Aannames!$B$6)*Aannames!$C$7+MAX(0,$N133-Aannames!$B$7)*Aannames!$C$8,Aannames!$B$9)+Aannames!$B$10)</f>
        <v/>
      </c>
      <c r="P133" s="18" t="str">
        <f aca="false">IF($L133="","",IFERROR(_xlfn.SWITCH($L133,"M1",Aannames!$B$16,"M2",Aannames!$B$17,"M3",Aannames!$B$18,"M4",Aannames!$B$19),""))</f>
        <v/>
      </c>
      <c r="Q133" s="17" t="str">
        <f aca="false">IF(OR($O133="",$P133=""),"",IFERROR(_xlfn.SWITCH($L133,"M1",Aannames!$B$10,"M2",Aannames!$B$10+($O133-Aannames!$B$10)*Aannames!$B$12,"M3",Aannames!$B$10+($O133-Aannames!$B$10)*(Aannames!$B$12+Aannames!$B$13),"M4",$O133),0)+($O133-IFERROR(_xlfn.SWITCH($L133,"M1",Aannames!$B$10,"M2",Aannames!$B$10+($O133-Aannames!$B$10)*Aannames!$B$12,"M3",Aannames!$B$10+($O133-Aannames!$B$10)*(Aannames!$B$12+Aannames!$B$13),"M4",$O133),0))*$P133)</f>
        <v/>
      </c>
      <c r="U133" s="15"/>
    </row>
    <row r="134" customFormat="false" ht="15" hidden="false" customHeight="false" outlineLevel="0" collapsed="false">
      <c r="I134" s="15"/>
      <c r="N134" s="16"/>
      <c r="O134" s="17" t="str">
        <f aca="false">IF(OR($N134="",$N134=0),"",MAX(MIN($N134,Aannames!$B$5)*Aannames!$C$5+MAX(0,MIN($N134,Aannames!$B$6)-Aannames!$B$5)*Aannames!$C$6+MAX(0,MIN($N134,Aannames!$B$7)-Aannames!$B$6)*Aannames!$C$7+MAX(0,$N134-Aannames!$B$7)*Aannames!$C$8,Aannames!$B$9)+Aannames!$B$10)</f>
        <v/>
      </c>
      <c r="P134" s="18" t="str">
        <f aca="false">IF($L134="","",IFERROR(_xlfn.SWITCH($L134,"M1",Aannames!$B$16,"M2",Aannames!$B$17,"M3",Aannames!$B$18,"M4",Aannames!$B$19),""))</f>
        <v/>
      </c>
      <c r="Q134" s="17" t="str">
        <f aca="false">IF(OR($O134="",$P134=""),"",IFERROR(_xlfn.SWITCH($L134,"M1",Aannames!$B$10,"M2",Aannames!$B$10+($O134-Aannames!$B$10)*Aannames!$B$12,"M3",Aannames!$B$10+($O134-Aannames!$B$10)*(Aannames!$B$12+Aannames!$B$13),"M4",$O134),0)+($O134-IFERROR(_xlfn.SWITCH($L134,"M1",Aannames!$B$10,"M2",Aannames!$B$10+($O134-Aannames!$B$10)*Aannames!$B$12,"M3",Aannames!$B$10+($O134-Aannames!$B$10)*(Aannames!$B$12+Aannames!$B$13),"M4",$O134),0))*$P134)</f>
        <v/>
      </c>
      <c r="U134" s="15"/>
    </row>
    <row r="135" customFormat="false" ht="15" hidden="false" customHeight="false" outlineLevel="0" collapsed="false">
      <c r="I135" s="15"/>
      <c r="N135" s="16"/>
      <c r="O135" s="17" t="str">
        <f aca="false">IF(OR($N135="",$N135=0),"",MAX(MIN($N135,Aannames!$B$5)*Aannames!$C$5+MAX(0,MIN($N135,Aannames!$B$6)-Aannames!$B$5)*Aannames!$C$6+MAX(0,MIN($N135,Aannames!$B$7)-Aannames!$B$6)*Aannames!$C$7+MAX(0,$N135-Aannames!$B$7)*Aannames!$C$8,Aannames!$B$9)+Aannames!$B$10)</f>
        <v/>
      </c>
      <c r="P135" s="18" t="str">
        <f aca="false">IF($L135="","",IFERROR(_xlfn.SWITCH($L135,"M1",Aannames!$B$16,"M2",Aannames!$B$17,"M3",Aannames!$B$18,"M4",Aannames!$B$19),""))</f>
        <v/>
      </c>
      <c r="Q135" s="17" t="str">
        <f aca="false">IF(OR($O135="",$P135=""),"",IFERROR(_xlfn.SWITCH($L135,"M1",Aannames!$B$10,"M2",Aannames!$B$10+($O135-Aannames!$B$10)*Aannames!$B$12,"M3",Aannames!$B$10+($O135-Aannames!$B$10)*(Aannames!$B$12+Aannames!$B$13),"M4",$O135),0)+($O135-IFERROR(_xlfn.SWITCH($L135,"M1",Aannames!$B$10,"M2",Aannames!$B$10+($O135-Aannames!$B$10)*Aannames!$B$12,"M3",Aannames!$B$10+($O135-Aannames!$B$10)*(Aannames!$B$12+Aannames!$B$13),"M4",$O135),0))*$P135)</f>
        <v/>
      </c>
      <c r="U135" s="15"/>
    </row>
    <row r="136" customFormat="false" ht="15" hidden="false" customHeight="false" outlineLevel="0" collapsed="false">
      <c r="I136" s="15"/>
      <c r="N136" s="16"/>
      <c r="O136" s="17" t="str">
        <f aca="false">IF(OR($N136="",$N136=0),"",MAX(MIN($N136,Aannames!$B$5)*Aannames!$C$5+MAX(0,MIN($N136,Aannames!$B$6)-Aannames!$B$5)*Aannames!$C$6+MAX(0,MIN($N136,Aannames!$B$7)-Aannames!$B$6)*Aannames!$C$7+MAX(0,$N136-Aannames!$B$7)*Aannames!$C$8,Aannames!$B$9)+Aannames!$B$10)</f>
        <v/>
      </c>
      <c r="P136" s="18" t="str">
        <f aca="false">IF($L136="","",IFERROR(_xlfn.SWITCH($L136,"M1",Aannames!$B$16,"M2",Aannames!$B$17,"M3",Aannames!$B$18,"M4",Aannames!$B$19),""))</f>
        <v/>
      </c>
      <c r="Q136" s="17" t="str">
        <f aca="false">IF(OR($O136="",$P136=""),"",IFERROR(_xlfn.SWITCH($L136,"M1",Aannames!$B$10,"M2",Aannames!$B$10+($O136-Aannames!$B$10)*Aannames!$B$12,"M3",Aannames!$B$10+($O136-Aannames!$B$10)*(Aannames!$B$12+Aannames!$B$13),"M4",$O136),0)+($O136-IFERROR(_xlfn.SWITCH($L136,"M1",Aannames!$B$10,"M2",Aannames!$B$10+($O136-Aannames!$B$10)*Aannames!$B$12,"M3",Aannames!$B$10+($O136-Aannames!$B$10)*(Aannames!$B$12+Aannames!$B$13),"M4",$O136),0))*$P136)</f>
        <v/>
      </c>
      <c r="U136" s="15"/>
    </row>
    <row r="137" customFormat="false" ht="15" hidden="false" customHeight="false" outlineLevel="0" collapsed="false">
      <c r="I137" s="15"/>
      <c r="N137" s="16"/>
      <c r="O137" s="17" t="str">
        <f aca="false">IF(OR($N137="",$N137=0),"",MAX(MIN($N137,Aannames!$B$5)*Aannames!$C$5+MAX(0,MIN($N137,Aannames!$B$6)-Aannames!$B$5)*Aannames!$C$6+MAX(0,MIN($N137,Aannames!$B$7)-Aannames!$B$6)*Aannames!$C$7+MAX(0,$N137-Aannames!$B$7)*Aannames!$C$8,Aannames!$B$9)+Aannames!$B$10)</f>
        <v/>
      </c>
      <c r="P137" s="18" t="str">
        <f aca="false">IF($L137="","",IFERROR(_xlfn.SWITCH($L137,"M1",Aannames!$B$16,"M2",Aannames!$B$17,"M3",Aannames!$B$18,"M4",Aannames!$B$19),""))</f>
        <v/>
      </c>
      <c r="Q137" s="17" t="str">
        <f aca="false">IF(OR($O137="",$P137=""),"",IFERROR(_xlfn.SWITCH($L137,"M1",Aannames!$B$10,"M2",Aannames!$B$10+($O137-Aannames!$B$10)*Aannames!$B$12,"M3",Aannames!$B$10+($O137-Aannames!$B$10)*(Aannames!$B$12+Aannames!$B$13),"M4",$O137),0)+($O137-IFERROR(_xlfn.SWITCH($L137,"M1",Aannames!$B$10,"M2",Aannames!$B$10+($O137-Aannames!$B$10)*Aannames!$B$12,"M3",Aannames!$B$10+($O137-Aannames!$B$10)*(Aannames!$B$12+Aannames!$B$13),"M4",$O137),0))*$P137)</f>
        <v/>
      </c>
      <c r="U137" s="15"/>
    </row>
    <row r="138" customFormat="false" ht="15" hidden="false" customHeight="false" outlineLevel="0" collapsed="false">
      <c r="I138" s="15"/>
      <c r="N138" s="16"/>
      <c r="O138" s="17" t="str">
        <f aca="false">IF(OR($N138="",$N138=0),"",MAX(MIN($N138,Aannames!$B$5)*Aannames!$C$5+MAX(0,MIN($N138,Aannames!$B$6)-Aannames!$B$5)*Aannames!$C$6+MAX(0,MIN($N138,Aannames!$B$7)-Aannames!$B$6)*Aannames!$C$7+MAX(0,$N138-Aannames!$B$7)*Aannames!$C$8,Aannames!$B$9)+Aannames!$B$10)</f>
        <v/>
      </c>
      <c r="P138" s="18" t="str">
        <f aca="false">IF($L138="","",IFERROR(_xlfn.SWITCH($L138,"M1",Aannames!$B$16,"M2",Aannames!$B$17,"M3",Aannames!$B$18,"M4",Aannames!$B$19),""))</f>
        <v/>
      </c>
      <c r="Q138" s="17" t="str">
        <f aca="false">IF(OR($O138="",$P138=""),"",IFERROR(_xlfn.SWITCH($L138,"M1",Aannames!$B$10,"M2",Aannames!$B$10+($O138-Aannames!$B$10)*Aannames!$B$12,"M3",Aannames!$B$10+($O138-Aannames!$B$10)*(Aannames!$B$12+Aannames!$B$13),"M4",$O138),0)+($O138-IFERROR(_xlfn.SWITCH($L138,"M1",Aannames!$B$10,"M2",Aannames!$B$10+($O138-Aannames!$B$10)*Aannames!$B$12,"M3",Aannames!$B$10+($O138-Aannames!$B$10)*(Aannames!$B$12+Aannames!$B$13),"M4",$O138),0))*$P138)</f>
        <v/>
      </c>
      <c r="U138" s="15"/>
    </row>
    <row r="139" customFormat="false" ht="15" hidden="false" customHeight="false" outlineLevel="0" collapsed="false">
      <c r="I139" s="15"/>
      <c r="N139" s="16"/>
      <c r="O139" s="17" t="str">
        <f aca="false">IF(OR($N139="",$N139=0),"",MAX(MIN($N139,Aannames!$B$5)*Aannames!$C$5+MAX(0,MIN($N139,Aannames!$B$6)-Aannames!$B$5)*Aannames!$C$6+MAX(0,MIN($N139,Aannames!$B$7)-Aannames!$B$6)*Aannames!$C$7+MAX(0,$N139-Aannames!$B$7)*Aannames!$C$8,Aannames!$B$9)+Aannames!$B$10)</f>
        <v/>
      </c>
      <c r="P139" s="18" t="str">
        <f aca="false">IF($L139="","",IFERROR(_xlfn.SWITCH($L139,"M1",Aannames!$B$16,"M2",Aannames!$B$17,"M3",Aannames!$B$18,"M4",Aannames!$B$19),""))</f>
        <v/>
      </c>
      <c r="Q139" s="17" t="str">
        <f aca="false">IF(OR($O139="",$P139=""),"",IFERROR(_xlfn.SWITCH($L139,"M1",Aannames!$B$10,"M2",Aannames!$B$10+($O139-Aannames!$B$10)*Aannames!$B$12,"M3",Aannames!$B$10+($O139-Aannames!$B$10)*(Aannames!$B$12+Aannames!$B$13),"M4",$O139),0)+($O139-IFERROR(_xlfn.SWITCH($L139,"M1",Aannames!$B$10,"M2",Aannames!$B$10+($O139-Aannames!$B$10)*Aannames!$B$12,"M3",Aannames!$B$10+($O139-Aannames!$B$10)*(Aannames!$B$12+Aannames!$B$13),"M4",$O139),0))*$P139)</f>
        <v/>
      </c>
      <c r="U139" s="15"/>
    </row>
    <row r="140" customFormat="false" ht="15" hidden="false" customHeight="false" outlineLevel="0" collapsed="false">
      <c r="I140" s="15"/>
      <c r="N140" s="16"/>
      <c r="O140" s="17" t="str">
        <f aca="false">IF(OR($N140="",$N140=0),"",MAX(MIN($N140,Aannames!$B$5)*Aannames!$C$5+MAX(0,MIN($N140,Aannames!$B$6)-Aannames!$B$5)*Aannames!$C$6+MAX(0,MIN($N140,Aannames!$B$7)-Aannames!$B$6)*Aannames!$C$7+MAX(0,$N140-Aannames!$B$7)*Aannames!$C$8,Aannames!$B$9)+Aannames!$B$10)</f>
        <v/>
      </c>
      <c r="P140" s="18" t="str">
        <f aca="false">IF($L140="","",IFERROR(_xlfn.SWITCH($L140,"M1",Aannames!$B$16,"M2",Aannames!$B$17,"M3",Aannames!$B$18,"M4",Aannames!$B$19),""))</f>
        <v/>
      </c>
      <c r="Q140" s="17" t="str">
        <f aca="false">IF(OR($O140="",$P140=""),"",IFERROR(_xlfn.SWITCH($L140,"M1",Aannames!$B$10,"M2",Aannames!$B$10+($O140-Aannames!$B$10)*Aannames!$B$12,"M3",Aannames!$B$10+($O140-Aannames!$B$10)*(Aannames!$B$12+Aannames!$B$13),"M4",$O140),0)+($O140-IFERROR(_xlfn.SWITCH($L140,"M1",Aannames!$B$10,"M2",Aannames!$B$10+($O140-Aannames!$B$10)*Aannames!$B$12,"M3",Aannames!$B$10+($O140-Aannames!$B$10)*(Aannames!$B$12+Aannames!$B$13),"M4",$O140),0))*$P140)</f>
        <v/>
      </c>
      <c r="U140" s="15"/>
    </row>
    <row r="141" customFormat="false" ht="15" hidden="false" customHeight="false" outlineLevel="0" collapsed="false">
      <c r="I141" s="15"/>
      <c r="N141" s="16"/>
      <c r="O141" s="17" t="str">
        <f aca="false">IF(OR($N141="",$N141=0),"",MAX(MIN($N141,Aannames!$B$5)*Aannames!$C$5+MAX(0,MIN($N141,Aannames!$B$6)-Aannames!$B$5)*Aannames!$C$6+MAX(0,MIN($N141,Aannames!$B$7)-Aannames!$B$6)*Aannames!$C$7+MAX(0,$N141-Aannames!$B$7)*Aannames!$C$8,Aannames!$B$9)+Aannames!$B$10)</f>
        <v/>
      </c>
      <c r="P141" s="18" t="str">
        <f aca="false">IF($L141="","",IFERROR(_xlfn.SWITCH($L141,"M1",Aannames!$B$16,"M2",Aannames!$B$17,"M3",Aannames!$B$18,"M4",Aannames!$B$19),""))</f>
        <v/>
      </c>
      <c r="Q141" s="17" t="str">
        <f aca="false">IF(OR($O141="",$P141=""),"",IFERROR(_xlfn.SWITCH($L141,"M1",Aannames!$B$10,"M2",Aannames!$B$10+($O141-Aannames!$B$10)*Aannames!$B$12,"M3",Aannames!$B$10+($O141-Aannames!$B$10)*(Aannames!$B$12+Aannames!$B$13),"M4",$O141),0)+($O141-IFERROR(_xlfn.SWITCH($L141,"M1",Aannames!$B$10,"M2",Aannames!$B$10+($O141-Aannames!$B$10)*Aannames!$B$12,"M3",Aannames!$B$10+($O141-Aannames!$B$10)*(Aannames!$B$12+Aannames!$B$13),"M4",$O141),0))*$P141)</f>
        <v/>
      </c>
      <c r="U141" s="15"/>
    </row>
    <row r="142" customFormat="false" ht="15" hidden="false" customHeight="false" outlineLevel="0" collapsed="false">
      <c r="I142" s="15"/>
      <c r="N142" s="16"/>
      <c r="O142" s="17" t="str">
        <f aca="false">IF(OR($N142="",$N142=0),"",MAX(MIN($N142,Aannames!$B$5)*Aannames!$C$5+MAX(0,MIN($N142,Aannames!$B$6)-Aannames!$B$5)*Aannames!$C$6+MAX(0,MIN($N142,Aannames!$B$7)-Aannames!$B$6)*Aannames!$C$7+MAX(0,$N142-Aannames!$B$7)*Aannames!$C$8,Aannames!$B$9)+Aannames!$B$10)</f>
        <v/>
      </c>
      <c r="P142" s="18" t="str">
        <f aca="false">IF($L142="","",IFERROR(_xlfn.SWITCH($L142,"M1",Aannames!$B$16,"M2",Aannames!$B$17,"M3",Aannames!$B$18,"M4",Aannames!$B$19),""))</f>
        <v/>
      </c>
      <c r="Q142" s="17" t="str">
        <f aca="false">IF(OR($O142="",$P142=""),"",IFERROR(_xlfn.SWITCH($L142,"M1",Aannames!$B$10,"M2",Aannames!$B$10+($O142-Aannames!$B$10)*Aannames!$B$12,"M3",Aannames!$B$10+($O142-Aannames!$B$10)*(Aannames!$B$12+Aannames!$B$13),"M4",$O142),0)+($O142-IFERROR(_xlfn.SWITCH($L142,"M1",Aannames!$B$10,"M2",Aannames!$B$10+($O142-Aannames!$B$10)*Aannames!$B$12,"M3",Aannames!$B$10+($O142-Aannames!$B$10)*(Aannames!$B$12+Aannames!$B$13),"M4",$O142),0))*$P142)</f>
        <v/>
      </c>
      <c r="U142" s="15"/>
    </row>
    <row r="143" customFormat="false" ht="15" hidden="false" customHeight="false" outlineLevel="0" collapsed="false">
      <c r="I143" s="15"/>
      <c r="N143" s="16"/>
      <c r="O143" s="17" t="str">
        <f aca="false">IF(OR($N143="",$N143=0),"",MAX(MIN($N143,Aannames!$B$5)*Aannames!$C$5+MAX(0,MIN($N143,Aannames!$B$6)-Aannames!$B$5)*Aannames!$C$6+MAX(0,MIN($N143,Aannames!$B$7)-Aannames!$B$6)*Aannames!$C$7+MAX(0,$N143-Aannames!$B$7)*Aannames!$C$8,Aannames!$B$9)+Aannames!$B$10)</f>
        <v/>
      </c>
      <c r="P143" s="18" t="str">
        <f aca="false">IF($L143="","",IFERROR(_xlfn.SWITCH($L143,"M1",Aannames!$B$16,"M2",Aannames!$B$17,"M3",Aannames!$B$18,"M4",Aannames!$B$19),""))</f>
        <v/>
      </c>
      <c r="Q143" s="17" t="str">
        <f aca="false">IF(OR($O143="",$P143=""),"",IFERROR(_xlfn.SWITCH($L143,"M1",Aannames!$B$10,"M2",Aannames!$B$10+($O143-Aannames!$B$10)*Aannames!$B$12,"M3",Aannames!$B$10+($O143-Aannames!$B$10)*(Aannames!$B$12+Aannames!$B$13),"M4",$O143),0)+($O143-IFERROR(_xlfn.SWITCH($L143,"M1",Aannames!$B$10,"M2",Aannames!$B$10+($O143-Aannames!$B$10)*Aannames!$B$12,"M3",Aannames!$B$10+($O143-Aannames!$B$10)*(Aannames!$B$12+Aannames!$B$13),"M4",$O143),0))*$P143)</f>
        <v/>
      </c>
      <c r="U143" s="15"/>
    </row>
    <row r="144" customFormat="false" ht="15" hidden="false" customHeight="false" outlineLevel="0" collapsed="false">
      <c r="I144" s="15"/>
      <c r="N144" s="16"/>
      <c r="O144" s="17" t="str">
        <f aca="false">IF(OR($N144="",$N144=0),"",MAX(MIN($N144,Aannames!$B$5)*Aannames!$C$5+MAX(0,MIN($N144,Aannames!$B$6)-Aannames!$B$5)*Aannames!$C$6+MAX(0,MIN($N144,Aannames!$B$7)-Aannames!$B$6)*Aannames!$C$7+MAX(0,$N144-Aannames!$B$7)*Aannames!$C$8,Aannames!$B$9)+Aannames!$B$10)</f>
        <v/>
      </c>
      <c r="P144" s="18" t="str">
        <f aca="false">IF($L144="","",IFERROR(_xlfn.SWITCH($L144,"M1",Aannames!$B$16,"M2",Aannames!$B$17,"M3",Aannames!$B$18,"M4",Aannames!$B$19),""))</f>
        <v/>
      </c>
      <c r="Q144" s="17" t="str">
        <f aca="false">IF(OR($O144="",$P144=""),"",IFERROR(_xlfn.SWITCH($L144,"M1",Aannames!$B$10,"M2",Aannames!$B$10+($O144-Aannames!$B$10)*Aannames!$B$12,"M3",Aannames!$B$10+($O144-Aannames!$B$10)*(Aannames!$B$12+Aannames!$B$13),"M4",$O144),0)+($O144-IFERROR(_xlfn.SWITCH($L144,"M1",Aannames!$B$10,"M2",Aannames!$B$10+($O144-Aannames!$B$10)*Aannames!$B$12,"M3",Aannames!$B$10+($O144-Aannames!$B$10)*(Aannames!$B$12+Aannames!$B$13),"M4",$O144),0))*$P144)</f>
        <v/>
      </c>
      <c r="U144" s="15"/>
    </row>
    <row r="145" customFormat="false" ht="15" hidden="false" customHeight="false" outlineLevel="0" collapsed="false">
      <c r="I145" s="15"/>
      <c r="N145" s="16"/>
      <c r="O145" s="17" t="str">
        <f aca="false">IF(OR($N145="",$N145=0),"",MAX(MIN($N145,Aannames!$B$5)*Aannames!$C$5+MAX(0,MIN($N145,Aannames!$B$6)-Aannames!$B$5)*Aannames!$C$6+MAX(0,MIN($N145,Aannames!$B$7)-Aannames!$B$6)*Aannames!$C$7+MAX(0,$N145-Aannames!$B$7)*Aannames!$C$8,Aannames!$B$9)+Aannames!$B$10)</f>
        <v/>
      </c>
      <c r="P145" s="18" t="str">
        <f aca="false">IF($L145="","",IFERROR(_xlfn.SWITCH($L145,"M1",Aannames!$B$16,"M2",Aannames!$B$17,"M3",Aannames!$B$18,"M4",Aannames!$B$19),""))</f>
        <v/>
      </c>
      <c r="Q145" s="17" t="str">
        <f aca="false">IF(OR($O145="",$P145=""),"",IFERROR(_xlfn.SWITCH($L145,"M1",Aannames!$B$10,"M2",Aannames!$B$10+($O145-Aannames!$B$10)*Aannames!$B$12,"M3",Aannames!$B$10+($O145-Aannames!$B$10)*(Aannames!$B$12+Aannames!$B$13),"M4",$O145),0)+($O145-IFERROR(_xlfn.SWITCH($L145,"M1",Aannames!$B$10,"M2",Aannames!$B$10+($O145-Aannames!$B$10)*Aannames!$B$12,"M3",Aannames!$B$10+($O145-Aannames!$B$10)*(Aannames!$B$12+Aannames!$B$13),"M4",$O145),0))*$P145)</f>
        <v/>
      </c>
      <c r="U145" s="15"/>
    </row>
    <row r="146" customFormat="false" ht="15" hidden="false" customHeight="false" outlineLevel="0" collapsed="false">
      <c r="I146" s="15"/>
      <c r="N146" s="16"/>
      <c r="O146" s="17" t="str">
        <f aca="false">IF(OR($N146="",$N146=0),"",MAX(MIN($N146,Aannames!$B$5)*Aannames!$C$5+MAX(0,MIN($N146,Aannames!$B$6)-Aannames!$B$5)*Aannames!$C$6+MAX(0,MIN($N146,Aannames!$B$7)-Aannames!$B$6)*Aannames!$C$7+MAX(0,$N146-Aannames!$B$7)*Aannames!$C$8,Aannames!$B$9)+Aannames!$B$10)</f>
        <v/>
      </c>
      <c r="P146" s="18" t="str">
        <f aca="false">IF($L146="","",IFERROR(_xlfn.SWITCH($L146,"M1",Aannames!$B$16,"M2",Aannames!$B$17,"M3",Aannames!$B$18,"M4",Aannames!$B$19),""))</f>
        <v/>
      </c>
      <c r="Q146" s="17" t="str">
        <f aca="false">IF(OR($O146="",$P146=""),"",IFERROR(_xlfn.SWITCH($L146,"M1",Aannames!$B$10,"M2",Aannames!$B$10+($O146-Aannames!$B$10)*Aannames!$B$12,"M3",Aannames!$B$10+($O146-Aannames!$B$10)*(Aannames!$B$12+Aannames!$B$13),"M4",$O146),0)+($O146-IFERROR(_xlfn.SWITCH($L146,"M1",Aannames!$B$10,"M2",Aannames!$B$10+($O146-Aannames!$B$10)*Aannames!$B$12,"M3",Aannames!$B$10+($O146-Aannames!$B$10)*(Aannames!$B$12+Aannames!$B$13),"M4",$O146),0))*$P146)</f>
        <v/>
      </c>
      <c r="U146" s="15"/>
    </row>
    <row r="147" customFormat="false" ht="15" hidden="false" customHeight="false" outlineLevel="0" collapsed="false">
      <c r="I147" s="15"/>
      <c r="N147" s="16"/>
      <c r="O147" s="17" t="str">
        <f aca="false">IF(OR($N147="",$N147=0),"",MAX(MIN($N147,Aannames!$B$5)*Aannames!$C$5+MAX(0,MIN($N147,Aannames!$B$6)-Aannames!$B$5)*Aannames!$C$6+MAX(0,MIN($N147,Aannames!$B$7)-Aannames!$B$6)*Aannames!$C$7+MAX(0,$N147-Aannames!$B$7)*Aannames!$C$8,Aannames!$B$9)+Aannames!$B$10)</f>
        <v/>
      </c>
      <c r="P147" s="18" t="str">
        <f aca="false">IF($L147="","",IFERROR(_xlfn.SWITCH($L147,"M1",Aannames!$B$16,"M2",Aannames!$B$17,"M3",Aannames!$B$18,"M4",Aannames!$B$19),""))</f>
        <v/>
      </c>
      <c r="Q147" s="17" t="str">
        <f aca="false">IF(OR($O147="",$P147=""),"",IFERROR(_xlfn.SWITCH($L147,"M1",Aannames!$B$10,"M2",Aannames!$B$10+($O147-Aannames!$B$10)*Aannames!$B$12,"M3",Aannames!$B$10+($O147-Aannames!$B$10)*(Aannames!$B$12+Aannames!$B$13),"M4",$O147),0)+($O147-IFERROR(_xlfn.SWITCH($L147,"M1",Aannames!$B$10,"M2",Aannames!$B$10+($O147-Aannames!$B$10)*Aannames!$B$12,"M3",Aannames!$B$10+($O147-Aannames!$B$10)*(Aannames!$B$12+Aannames!$B$13),"M4",$O147),0))*$P147)</f>
        <v/>
      </c>
      <c r="U147" s="15"/>
    </row>
    <row r="148" customFormat="false" ht="15" hidden="false" customHeight="false" outlineLevel="0" collapsed="false">
      <c r="I148" s="15"/>
      <c r="N148" s="16"/>
      <c r="O148" s="17" t="str">
        <f aca="false">IF(OR($N148="",$N148=0),"",MAX(MIN($N148,Aannames!$B$5)*Aannames!$C$5+MAX(0,MIN($N148,Aannames!$B$6)-Aannames!$B$5)*Aannames!$C$6+MAX(0,MIN($N148,Aannames!$B$7)-Aannames!$B$6)*Aannames!$C$7+MAX(0,$N148-Aannames!$B$7)*Aannames!$C$8,Aannames!$B$9)+Aannames!$B$10)</f>
        <v/>
      </c>
      <c r="P148" s="18" t="str">
        <f aca="false">IF($L148="","",IFERROR(_xlfn.SWITCH($L148,"M1",Aannames!$B$16,"M2",Aannames!$B$17,"M3",Aannames!$B$18,"M4",Aannames!$B$19),""))</f>
        <v/>
      </c>
      <c r="Q148" s="17" t="str">
        <f aca="false">IF(OR($O148="",$P148=""),"",IFERROR(_xlfn.SWITCH($L148,"M1",Aannames!$B$10,"M2",Aannames!$B$10+($O148-Aannames!$B$10)*Aannames!$B$12,"M3",Aannames!$B$10+($O148-Aannames!$B$10)*(Aannames!$B$12+Aannames!$B$13),"M4",$O148),0)+($O148-IFERROR(_xlfn.SWITCH($L148,"M1",Aannames!$B$10,"M2",Aannames!$B$10+($O148-Aannames!$B$10)*Aannames!$B$12,"M3",Aannames!$B$10+($O148-Aannames!$B$10)*(Aannames!$B$12+Aannames!$B$13),"M4",$O148),0))*$P148)</f>
        <v/>
      </c>
      <c r="U148" s="15"/>
    </row>
    <row r="149" customFormat="false" ht="15" hidden="false" customHeight="false" outlineLevel="0" collapsed="false">
      <c r="I149" s="15"/>
      <c r="N149" s="16"/>
      <c r="O149" s="17" t="str">
        <f aca="false">IF(OR($N149="",$N149=0),"",MAX(MIN($N149,Aannames!$B$5)*Aannames!$C$5+MAX(0,MIN($N149,Aannames!$B$6)-Aannames!$B$5)*Aannames!$C$6+MAX(0,MIN($N149,Aannames!$B$7)-Aannames!$B$6)*Aannames!$C$7+MAX(0,$N149-Aannames!$B$7)*Aannames!$C$8,Aannames!$B$9)+Aannames!$B$10)</f>
        <v/>
      </c>
      <c r="P149" s="18" t="str">
        <f aca="false">IF($L149="","",IFERROR(_xlfn.SWITCH($L149,"M1",Aannames!$B$16,"M2",Aannames!$B$17,"M3",Aannames!$B$18,"M4",Aannames!$B$19),""))</f>
        <v/>
      </c>
      <c r="Q149" s="17" t="str">
        <f aca="false">IF(OR($O149="",$P149=""),"",IFERROR(_xlfn.SWITCH($L149,"M1",Aannames!$B$10,"M2",Aannames!$B$10+($O149-Aannames!$B$10)*Aannames!$B$12,"M3",Aannames!$B$10+($O149-Aannames!$B$10)*(Aannames!$B$12+Aannames!$B$13),"M4",$O149),0)+($O149-IFERROR(_xlfn.SWITCH($L149,"M1",Aannames!$B$10,"M2",Aannames!$B$10+($O149-Aannames!$B$10)*Aannames!$B$12,"M3",Aannames!$B$10+($O149-Aannames!$B$10)*(Aannames!$B$12+Aannames!$B$13),"M4",$O149),0))*$P149)</f>
        <v/>
      </c>
      <c r="U149" s="15"/>
    </row>
    <row r="150" customFormat="false" ht="15" hidden="false" customHeight="false" outlineLevel="0" collapsed="false">
      <c r="I150" s="15"/>
      <c r="N150" s="16"/>
      <c r="O150" s="17" t="str">
        <f aca="false">IF(OR($N150="",$N150=0),"",MAX(MIN($N150,Aannames!$B$5)*Aannames!$C$5+MAX(0,MIN($N150,Aannames!$B$6)-Aannames!$B$5)*Aannames!$C$6+MAX(0,MIN($N150,Aannames!$B$7)-Aannames!$B$6)*Aannames!$C$7+MAX(0,$N150-Aannames!$B$7)*Aannames!$C$8,Aannames!$B$9)+Aannames!$B$10)</f>
        <v/>
      </c>
      <c r="P150" s="18" t="str">
        <f aca="false">IF($L150="","",IFERROR(_xlfn.SWITCH($L150,"M1",Aannames!$B$16,"M2",Aannames!$B$17,"M3",Aannames!$B$18,"M4",Aannames!$B$19),""))</f>
        <v/>
      </c>
      <c r="Q150" s="17" t="str">
        <f aca="false">IF(OR($O150="",$P150=""),"",IFERROR(_xlfn.SWITCH($L150,"M1",Aannames!$B$10,"M2",Aannames!$B$10+($O150-Aannames!$B$10)*Aannames!$B$12,"M3",Aannames!$B$10+($O150-Aannames!$B$10)*(Aannames!$B$12+Aannames!$B$13),"M4",$O150),0)+($O150-IFERROR(_xlfn.SWITCH($L150,"M1",Aannames!$B$10,"M2",Aannames!$B$10+($O150-Aannames!$B$10)*Aannames!$B$12,"M3",Aannames!$B$10+($O150-Aannames!$B$10)*(Aannames!$B$12+Aannames!$B$13),"M4",$O150),0))*$P150)</f>
        <v/>
      </c>
      <c r="U150" s="15"/>
    </row>
    <row r="151" customFormat="false" ht="15" hidden="false" customHeight="false" outlineLevel="0" collapsed="false">
      <c r="I151" s="15"/>
      <c r="N151" s="16"/>
      <c r="O151" s="17" t="str">
        <f aca="false">IF(OR($N151="",$N151=0),"",MAX(MIN($N151,Aannames!$B$5)*Aannames!$C$5+MAX(0,MIN($N151,Aannames!$B$6)-Aannames!$B$5)*Aannames!$C$6+MAX(0,MIN($N151,Aannames!$B$7)-Aannames!$B$6)*Aannames!$C$7+MAX(0,$N151-Aannames!$B$7)*Aannames!$C$8,Aannames!$B$9)+Aannames!$B$10)</f>
        <v/>
      </c>
      <c r="P151" s="18" t="str">
        <f aca="false">IF($L151="","",IFERROR(_xlfn.SWITCH($L151,"M1",Aannames!$B$16,"M2",Aannames!$B$17,"M3",Aannames!$B$18,"M4",Aannames!$B$19),""))</f>
        <v/>
      </c>
      <c r="Q151" s="17" t="str">
        <f aca="false">IF(OR($O151="",$P151=""),"",IFERROR(_xlfn.SWITCH($L151,"M1",Aannames!$B$10,"M2",Aannames!$B$10+($O151-Aannames!$B$10)*Aannames!$B$12,"M3",Aannames!$B$10+($O151-Aannames!$B$10)*(Aannames!$B$12+Aannames!$B$13),"M4",$O151),0)+($O151-IFERROR(_xlfn.SWITCH($L151,"M1",Aannames!$B$10,"M2",Aannames!$B$10+($O151-Aannames!$B$10)*Aannames!$B$12,"M3",Aannames!$B$10+($O151-Aannames!$B$10)*(Aannames!$B$12+Aannames!$B$13),"M4",$O151),0))*$P151)</f>
        <v/>
      </c>
      <c r="U151" s="15"/>
    </row>
    <row r="152" customFormat="false" ht="15" hidden="false" customHeight="false" outlineLevel="0" collapsed="false">
      <c r="I152" s="15"/>
      <c r="N152" s="16"/>
      <c r="O152" s="17" t="str">
        <f aca="false">IF(OR($N152="",$N152=0),"",MAX(MIN($N152,Aannames!$B$5)*Aannames!$C$5+MAX(0,MIN($N152,Aannames!$B$6)-Aannames!$B$5)*Aannames!$C$6+MAX(0,MIN($N152,Aannames!$B$7)-Aannames!$B$6)*Aannames!$C$7+MAX(0,$N152-Aannames!$B$7)*Aannames!$C$8,Aannames!$B$9)+Aannames!$B$10)</f>
        <v/>
      </c>
      <c r="P152" s="18" t="str">
        <f aca="false">IF($L152="","",IFERROR(_xlfn.SWITCH($L152,"M1",Aannames!$B$16,"M2",Aannames!$B$17,"M3",Aannames!$B$18,"M4",Aannames!$B$19),""))</f>
        <v/>
      </c>
      <c r="Q152" s="17" t="str">
        <f aca="false">IF(OR($O152="",$P152=""),"",IFERROR(_xlfn.SWITCH($L152,"M1",Aannames!$B$10,"M2",Aannames!$B$10+($O152-Aannames!$B$10)*Aannames!$B$12,"M3",Aannames!$B$10+($O152-Aannames!$B$10)*(Aannames!$B$12+Aannames!$B$13),"M4",$O152),0)+($O152-IFERROR(_xlfn.SWITCH($L152,"M1",Aannames!$B$10,"M2",Aannames!$B$10+($O152-Aannames!$B$10)*Aannames!$B$12,"M3",Aannames!$B$10+($O152-Aannames!$B$10)*(Aannames!$B$12+Aannames!$B$13),"M4",$O152),0))*$P152)</f>
        <v/>
      </c>
      <c r="U152" s="15"/>
    </row>
    <row r="153" customFormat="false" ht="15" hidden="false" customHeight="false" outlineLevel="0" collapsed="false">
      <c r="I153" s="15"/>
      <c r="N153" s="16"/>
      <c r="O153" s="17" t="str">
        <f aca="false">IF(OR($N153="",$N153=0),"",MAX(MIN($N153,Aannames!$B$5)*Aannames!$C$5+MAX(0,MIN($N153,Aannames!$B$6)-Aannames!$B$5)*Aannames!$C$6+MAX(0,MIN($N153,Aannames!$B$7)-Aannames!$B$6)*Aannames!$C$7+MAX(0,$N153-Aannames!$B$7)*Aannames!$C$8,Aannames!$B$9)+Aannames!$B$10)</f>
        <v/>
      </c>
      <c r="P153" s="18" t="str">
        <f aca="false">IF($L153="","",IFERROR(_xlfn.SWITCH($L153,"M1",Aannames!$B$16,"M2",Aannames!$B$17,"M3",Aannames!$B$18,"M4",Aannames!$B$19),""))</f>
        <v/>
      </c>
      <c r="Q153" s="17" t="str">
        <f aca="false">IF(OR($O153="",$P153=""),"",IFERROR(_xlfn.SWITCH($L153,"M1",Aannames!$B$10,"M2",Aannames!$B$10+($O153-Aannames!$B$10)*Aannames!$B$12,"M3",Aannames!$B$10+($O153-Aannames!$B$10)*(Aannames!$B$12+Aannames!$B$13),"M4",$O153),0)+($O153-IFERROR(_xlfn.SWITCH($L153,"M1",Aannames!$B$10,"M2",Aannames!$B$10+($O153-Aannames!$B$10)*Aannames!$B$12,"M3",Aannames!$B$10+($O153-Aannames!$B$10)*(Aannames!$B$12+Aannames!$B$13),"M4",$O153),0))*$P153)</f>
        <v/>
      </c>
      <c r="U153" s="15"/>
    </row>
    <row r="154" customFormat="false" ht="15" hidden="false" customHeight="false" outlineLevel="0" collapsed="false">
      <c r="I154" s="15"/>
      <c r="N154" s="16"/>
      <c r="O154" s="17" t="str">
        <f aca="false">IF(OR($N154="",$N154=0),"",MAX(MIN($N154,Aannames!$B$5)*Aannames!$C$5+MAX(0,MIN($N154,Aannames!$B$6)-Aannames!$B$5)*Aannames!$C$6+MAX(0,MIN($N154,Aannames!$B$7)-Aannames!$B$6)*Aannames!$C$7+MAX(0,$N154-Aannames!$B$7)*Aannames!$C$8,Aannames!$B$9)+Aannames!$B$10)</f>
        <v/>
      </c>
      <c r="P154" s="18" t="str">
        <f aca="false">IF($L154="","",IFERROR(_xlfn.SWITCH($L154,"M1",Aannames!$B$16,"M2",Aannames!$B$17,"M3",Aannames!$B$18,"M4",Aannames!$B$19),""))</f>
        <v/>
      </c>
      <c r="Q154" s="17" t="str">
        <f aca="false">IF(OR($O154="",$P154=""),"",IFERROR(_xlfn.SWITCH($L154,"M1",Aannames!$B$10,"M2",Aannames!$B$10+($O154-Aannames!$B$10)*Aannames!$B$12,"M3",Aannames!$B$10+($O154-Aannames!$B$10)*(Aannames!$B$12+Aannames!$B$13),"M4",$O154),0)+($O154-IFERROR(_xlfn.SWITCH($L154,"M1",Aannames!$B$10,"M2",Aannames!$B$10+($O154-Aannames!$B$10)*Aannames!$B$12,"M3",Aannames!$B$10+($O154-Aannames!$B$10)*(Aannames!$B$12+Aannames!$B$13),"M4",$O154),0))*$P154)</f>
        <v/>
      </c>
      <c r="U154" s="15"/>
    </row>
    <row r="155" customFormat="false" ht="15" hidden="false" customHeight="false" outlineLevel="0" collapsed="false">
      <c r="I155" s="15"/>
      <c r="N155" s="16"/>
      <c r="O155" s="17" t="str">
        <f aca="false">IF(OR($N155="",$N155=0),"",MAX(MIN($N155,Aannames!$B$5)*Aannames!$C$5+MAX(0,MIN($N155,Aannames!$B$6)-Aannames!$B$5)*Aannames!$C$6+MAX(0,MIN($N155,Aannames!$B$7)-Aannames!$B$6)*Aannames!$C$7+MAX(0,$N155-Aannames!$B$7)*Aannames!$C$8,Aannames!$B$9)+Aannames!$B$10)</f>
        <v/>
      </c>
      <c r="P155" s="18" t="str">
        <f aca="false">IF($L155="","",IFERROR(_xlfn.SWITCH($L155,"M1",Aannames!$B$16,"M2",Aannames!$B$17,"M3",Aannames!$B$18,"M4",Aannames!$B$19),""))</f>
        <v/>
      </c>
      <c r="Q155" s="17" t="str">
        <f aca="false">IF(OR($O155="",$P155=""),"",IFERROR(_xlfn.SWITCH($L155,"M1",Aannames!$B$10,"M2",Aannames!$B$10+($O155-Aannames!$B$10)*Aannames!$B$12,"M3",Aannames!$B$10+($O155-Aannames!$B$10)*(Aannames!$B$12+Aannames!$B$13),"M4",$O155),0)+($O155-IFERROR(_xlfn.SWITCH($L155,"M1",Aannames!$B$10,"M2",Aannames!$B$10+($O155-Aannames!$B$10)*Aannames!$B$12,"M3",Aannames!$B$10+($O155-Aannames!$B$10)*(Aannames!$B$12+Aannames!$B$13),"M4",$O155),0))*$P155)</f>
        <v/>
      </c>
      <c r="U155" s="15"/>
    </row>
    <row r="156" customFormat="false" ht="15" hidden="false" customHeight="false" outlineLevel="0" collapsed="false">
      <c r="I156" s="15"/>
      <c r="N156" s="16"/>
      <c r="O156" s="17" t="str">
        <f aca="false">IF(OR($N156="",$N156=0),"",MAX(MIN($N156,Aannames!$B$5)*Aannames!$C$5+MAX(0,MIN($N156,Aannames!$B$6)-Aannames!$B$5)*Aannames!$C$6+MAX(0,MIN($N156,Aannames!$B$7)-Aannames!$B$6)*Aannames!$C$7+MAX(0,$N156-Aannames!$B$7)*Aannames!$C$8,Aannames!$B$9)+Aannames!$B$10)</f>
        <v/>
      </c>
      <c r="P156" s="18" t="str">
        <f aca="false">IF($L156="","",IFERROR(_xlfn.SWITCH($L156,"M1",Aannames!$B$16,"M2",Aannames!$B$17,"M3",Aannames!$B$18,"M4",Aannames!$B$19),""))</f>
        <v/>
      </c>
      <c r="Q156" s="17" t="str">
        <f aca="false">IF(OR($O156="",$P156=""),"",IFERROR(_xlfn.SWITCH($L156,"M1",Aannames!$B$10,"M2",Aannames!$B$10+($O156-Aannames!$B$10)*Aannames!$B$12,"M3",Aannames!$B$10+($O156-Aannames!$B$10)*(Aannames!$B$12+Aannames!$B$13),"M4",$O156),0)+($O156-IFERROR(_xlfn.SWITCH($L156,"M1",Aannames!$B$10,"M2",Aannames!$B$10+($O156-Aannames!$B$10)*Aannames!$B$12,"M3",Aannames!$B$10+($O156-Aannames!$B$10)*(Aannames!$B$12+Aannames!$B$13),"M4",$O156),0))*$P156)</f>
        <v/>
      </c>
      <c r="U156" s="15"/>
    </row>
    <row r="157" customFormat="false" ht="15" hidden="false" customHeight="false" outlineLevel="0" collapsed="false">
      <c r="I157" s="15"/>
      <c r="N157" s="16"/>
      <c r="O157" s="17" t="str">
        <f aca="false">IF(OR($N157="",$N157=0),"",MAX(MIN($N157,Aannames!$B$5)*Aannames!$C$5+MAX(0,MIN($N157,Aannames!$B$6)-Aannames!$B$5)*Aannames!$C$6+MAX(0,MIN($N157,Aannames!$B$7)-Aannames!$B$6)*Aannames!$C$7+MAX(0,$N157-Aannames!$B$7)*Aannames!$C$8,Aannames!$B$9)+Aannames!$B$10)</f>
        <v/>
      </c>
      <c r="P157" s="18" t="str">
        <f aca="false">IF($L157="","",IFERROR(_xlfn.SWITCH($L157,"M1",Aannames!$B$16,"M2",Aannames!$B$17,"M3",Aannames!$B$18,"M4",Aannames!$B$19),""))</f>
        <v/>
      </c>
      <c r="Q157" s="17" t="str">
        <f aca="false">IF(OR($O157="",$P157=""),"",IFERROR(_xlfn.SWITCH($L157,"M1",Aannames!$B$10,"M2",Aannames!$B$10+($O157-Aannames!$B$10)*Aannames!$B$12,"M3",Aannames!$B$10+($O157-Aannames!$B$10)*(Aannames!$B$12+Aannames!$B$13),"M4",$O157),0)+($O157-IFERROR(_xlfn.SWITCH($L157,"M1",Aannames!$B$10,"M2",Aannames!$B$10+($O157-Aannames!$B$10)*Aannames!$B$12,"M3",Aannames!$B$10+($O157-Aannames!$B$10)*(Aannames!$B$12+Aannames!$B$13),"M4",$O157),0))*$P157)</f>
        <v/>
      </c>
      <c r="U157" s="15"/>
    </row>
    <row r="158" customFormat="false" ht="15" hidden="false" customHeight="false" outlineLevel="0" collapsed="false">
      <c r="I158" s="15"/>
      <c r="N158" s="16"/>
      <c r="O158" s="17" t="str">
        <f aca="false">IF(OR($N158="",$N158=0),"",MAX(MIN($N158,Aannames!$B$5)*Aannames!$C$5+MAX(0,MIN($N158,Aannames!$B$6)-Aannames!$B$5)*Aannames!$C$6+MAX(0,MIN($N158,Aannames!$B$7)-Aannames!$B$6)*Aannames!$C$7+MAX(0,$N158-Aannames!$B$7)*Aannames!$C$8,Aannames!$B$9)+Aannames!$B$10)</f>
        <v/>
      </c>
      <c r="P158" s="18" t="str">
        <f aca="false">IF($L158="","",IFERROR(_xlfn.SWITCH($L158,"M1",Aannames!$B$16,"M2",Aannames!$B$17,"M3",Aannames!$B$18,"M4",Aannames!$B$19),""))</f>
        <v/>
      </c>
      <c r="Q158" s="17" t="str">
        <f aca="false">IF(OR($O158="",$P158=""),"",IFERROR(_xlfn.SWITCH($L158,"M1",Aannames!$B$10,"M2",Aannames!$B$10+($O158-Aannames!$B$10)*Aannames!$B$12,"M3",Aannames!$B$10+($O158-Aannames!$B$10)*(Aannames!$B$12+Aannames!$B$13),"M4",$O158),0)+($O158-IFERROR(_xlfn.SWITCH($L158,"M1",Aannames!$B$10,"M2",Aannames!$B$10+($O158-Aannames!$B$10)*Aannames!$B$12,"M3",Aannames!$B$10+($O158-Aannames!$B$10)*(Aannames!$B$12+Aannames!$B$13),"M4",$O158),0))*$P158)</f>
        <v/>
      </c>
      <c r="U158" s="15"/>
    </row>
    <row r="159" customFormat="false" ht="15" hidden="false" customHeight="false" outlineLevel="0" collapsed="false">
      <c r="I159" s="15"/>
      <c r="N159" s="16"/>
      <c r="O159" s="17" t="str">
        <f aca="false">IF(OR($N159="",$N159=0),"",MAX(MIN($N159,Aannames!$B$5)*Aannames!$C$5+MAX(0,MIN($N159,Aannames!$B$6)-Aannames!$B$5)*Aannames!$C$6+MAX(0,MIN($N159,Aannames!$B$7)-Aannames!$B$6)*Aannames!$C$7+MAX(0,$N159-Aannames!$B$7)*Aannames!$C$8,Aannames!$B$9)+Aannames!$B$10)</f>
        <v/>
      </c>
      <c r="P159" s="18" t="str">
        <f aca="false">IF($L159="","",IFERROR(_xlfn.SWITCH($L159,"M1",Aannames!$B$16,"M2",Aannames!$B$17,"M3",Aannames!$B$18,"M4",Aannames!$B$19),""))</f>
        <v/>
      </c>
      <c r="Q159" s="17" t="str">
        <f aca="false">IF(OR($O159="",$P159=""),"",IFERROR(_xlfn.SWITCH($L159,"M1",Aannames!$B$10,"M2",Aannames!$B$10+($O159-Aannames!$B$10)*Aannames!$B$12,"M3",Aannames!$B$10+($O159-Aannames!$B$10)*(Aannames!$B$12+Aannames!$B$13),"M4",$O159),0)+($O159-IFERROR(_xlfn.SWITCH($L159,"M1",Aannames!$B$10,"M2",Aannames!$B$10+($O159-Aannames!$B$10)*Aannames!$B$12,"M3",Aannames!$B$10+($O159-Aannames!$B$10)*(Aannames!$B$12+Aannames!$B$13),"M4",$O159),0))*$P159)</f>
        <v/>
      </c>
      <c r="U159" s="15"/>
    </row>
    <row r="160" customFormat="false" ht="15" hidden="false" customHeight="false" outlineLevel="0" collapsed="false">
      <c r="I160" s="15"/>
      <c r="N160" s="16"/>
      <c r="O160" s="17" t="str">
        <f aca="false">IF(OR($N160="",$N160=0),"",MAX(MIN($N160,Aannames!$B$5)*Aannames!$C$5+MAX(0,MIN($N160,Aannames!$B$6)-Aannames!$B$5)*Aannames!$C$6+MAX(0,MIN($N160,Aannames!$B$7)-Aannames!$B$6)*Aannames!$C$7+MAX(0,$N160-Aannames!$B$7)*Aannames!$C$8,Aannames!$B$9)+Aannames!$B$10)</f>
        <v/>
      </c>
      <c r="P160" s="18" t="str">
        <f aca="false">IF($L160="","",IFERROR(_xlfn.SWITCH($L160,"M1",Aannames!$B$16,"M2",Aannames!$B$17,"M3",Aannames!$B$18,"M4",Aannames!$B$19),""))</f>
        <v/>
      </c>
      <c r="Q160" s="17" t="str">
        <f aca="false">IF(OR($O160="",$P160=""),"",IFERROR(_xlfn.SWITCH($L160,"M1",Aannames!$B$10,"M2",Aannames!$B$10+($O160-Aannames!$B$10)*Aannames!$B$12,"M3",Aannames!$B$10+($O160-Aannames!$B$10)*(Aannames!$B$12+Aannames!$B$13),"M4",$O160),0)+($O160-IFERROR(_xlfn.SWITCH($L160,"M1",Aannames!$B$10,"M2",Aannames!$B$10+($O160-Aannames!$B$10)*Aannames!$B$12,"M3",Aannames!$B$10+($O160-Aannames!$B$10)*(Aannames!$B$12+Aannames!$B$13),"M4",$O160),0))*$P160)</f>
        <v/>
      </c>
      <c r="U160" s="15"/>
    </row>
    <row r="161" customFormat="false" ht="15" hidden="false" customHeight="false" outlineLevel="0" collapsed="false">
      <c r="I161" s="15"/>
      <c r="N161" s="16"/>
      <c r="O161" s="17" t="str">
        <f aca="false">IF(OR($N161="",$N161=0),"",MAX(MIN($N161,Aannames!$B$5)*Aannames!$C$5+MAX(0,MIN($N161,Aannames!$B$6)-Aannames!$B$5)*Aannames!$C$6+MAX(0,MIN($N161,Aannames!$B$7)-Aannames!$B$6)*Aannames!$C$7+MAX(0,$N161-Aannames!$B$7)*Aannames!$C$8,Aannames!$B$9)+Aannames!$B$10)</f>
        <v/>
      </c>
      <c r="P161" s="18" t="str">
        <f aca="false">IF($L161="","",IFERROR(_xlfn.SWITCH($L161,"M1",Aannames!$B$16,"M2",Aannames!$B$17,"M3",Aannames!$B$18,"M4",Aannames!$B$19),""))</f>
        <v/>
      </c>
      <c r="Q161" s="17" t="str">
        <f aca="false">IF(OR($O161="",$P161=""),"",IFERROR(_xlfn.SWITCH($L161,"M1",Aannames!$B$10,"M2",Aannames!$B$10+($O161-Aannames!$B$10)*Aannames!$B$12,"M3",Aannames!$B$10+($O161-Aannames!$B$10)*(Aannames!$B$12+Aannames!$B$13),"M4",$O161),0)+($O161-IFERROR(_xlfn.SWITCH($L161,"M1",Aannames!$B$10,"M2",Aannames!$B$10+($O161-Aannames!$B$10)*Aannames!$B$12,"M3",Aannames!$B$10+($O161-Aannames!$B$10)*(Aannames!$B$12+Aannames!$B$13),"M4",$O161),0))*$P161)</f>
        <v/>
      </c>
      <c r="U161" s="15"/>
    </row>
    <row r="162" customFormat="false" ht="15" hidden="false" customHeight="false" outlineLevel="0" collapsed="false">
      <c r="I162" s="15"/>
      <c r="N162" s="16"/>
      <c r="O162" s="17" t="str">
        <f aca="false">IF(OR($N162="",$N162=0),"",MAX(MIN($N162,Aannames!$B$5)*Aannames!$C$5+MAX(0,MIN($N162,Aannames!$B$6)-Aannames!$B$5)*Aannames!$C$6+MAX(0,MIN($N162,Aannames!$B$7)-Aannames!$B$6)*Aannames!$C$7+MAX(0,$N162-Aannames!$B$7)*Aannames!$C$8,Aannames!$B$9)+Aannames!$B$10)</f>
        <v/>
      </c>
      <c r="P162" s="18" t="str">
        <f aca="false">IF($L162="","",IFERROR(_xlfn.SWITCH($L162,"M1",Aannames!$B$16,"M2",Aannames!$B$17,"M3",Aannames!$B$18,"M4",Aannames!$B$19),""))</f>
        <v/>
      </c>
      <c r="Q162" s="17" t="str">
        <f aca="false">IF(OR($O162="",$P162=""),"",IFERROR(_xlfn.SWITCH($L162,"M1",Aannames!$B$10,"M2",Aannames!$B$10+($O162-Aannames!$B$10)*Aannames!$B$12,"M3",Aannames!$B$10+($O162-Aannames!$B$10)*(Aannames!$B$12+Aannames!$B$13),"M4",$O162),0)+($O162-IFERROR(_xlfn.SWITCH($L162,"M1",Aannames!$B$10,"M2",Aannames!$B$10+($O162-Aannames!$B$10)*Aannames!$B$12,"M3",Aannames!$B$10+($O162-Aannames!$B$10)*(Aannames!$B$12+Aannames!$B$13),"M4",$O162),0))*$P162)</f>
        <v/>
      </c>
      <c r="U162" s="15"/>
    </row>
    <row r="163" customFormat="false" ht="15" hidden="false" customHeight="false" outlineLevel="0" collapsed="false">
      <c r="I163" s="15"/>
      <c r="N163" s="16"/>
      <c r="O163" s="17" t="str">
        <f aca="false">IF(OR($N163="",$N163=0),"",MAX(MIN($N163,Aannames!$B$5)*Aannames!$C$5+MAX(0,MIN($N163,Aannames!$B$6)-Aannames!$B$5)*Aannames!$C$6+MAX(0,MIN($N163,Aannames!$B$7)-Aannames!$B$6)*Aannames!$C$7+MAX(0,$N163-Aannames!$B$7)*Aannames!$C$8,Aannames!$B$9)+Aannames!$B$10)</f>
        <v/>
      </c>
      <c r="P163" s="18" t="str">
        <f aca="false">IF($L163="","",IFERROR(_xlfn.SWITCH($L163,"M1",Aannames!$B$16,"M2",Aannames!$B$17,"M3",Aannames!$B$18,"M4",Aannames!$B$19),""))</f>
        <v/>
      </c>
      <c r="Q163" s="17" t="str">
        <f aca="false">IF(OR($O163="",$P163=""),"",IFERROR(_xlfn.SWITCH($L163,"M1",Aannames!$B$10,"M2",Aannames!$B$10+($O163-Aannames!$B$10)*Aannames!$B$12,"M3",Aannames!$B$10+($O163-Aannames!$B$10)*(Aannames!$B$12+Aannames!$B$13),"M4",$O163),0)+($O163-IFERROR(_xlfn.SWITCH($L163,"M1",Aannames!$B$10,"M2",Aannames!$B$10+($O163-Aannames!$B$10)*Aannames!$B$12,"M3",Aannames!$B$10+($O163-Aannames!$B$10)*(Aannames!$B$12+Aannames!$B$13),"M4",$O163),0))*$P163)</f>
        <v/>
      </c>
      <c r="U163" s="15"/>
    </row>
    <row r="164" customFormat="false" ht="15" hidden="false" customHeight="false" outlineLevel="0" collapsed="false">
      <c r="I164" s="15"/>
      <c r="N164" s="16"/>
      <c r="O164" s="17" t="str">
        <f aca="false">IF(OR($N164="",$N164=0),"",MAX(MIN($N164,Aannames!$B$5)*Aannames!$C$5+MAX(0,MIN($N164,Aannames!$B$6)-Aannames!$B$5)*Aannames!$C$6+MAX(0,MIN($N164,Aannames!$B$7)-Aannames!$B$6)*Aannames!$C$7+MAX(0,$N164-Aannames!$B$7)*Aannames!$C$8,Aannames!$B$9)+Aannames!$B$10)</f>
        <v/>
      </c>
      <c r="P164" s="18" t="str">
        <f aca="false">IF($L164="","",IFERROR(_xlfn.SWITCH($L164,"M1",Aannames!$B$16,"M2",Aannames!$B$17,"M3",Aannames!$B$18,"M4",Aannames!$B$19),""))</f>
        <v/>
      </c>
      <c r="Q164" s="17" t="str">
        <f aca="false">IF(OR($O164="",$P164=""),"",IFERROR(_xlfn.SWITCH($L164,"M1",Aannames!$B$10,"M2",Aannames!$B$10+($O164-Aannames!$B$10)*Aannames!$B$12,"M3",Aannames!$B$10+($O164-Aannames!$B$10)*(Aannames!$B$12+Aannames!$B$13),"M4",$O164),0)+($O164-IFERROR(_xlfn.SWITCH($L164,"M1",Aannames!$B$10,"M2",Aannames!$B$10+($O164-Aannames!$B$10)*Aannames!$B$12,"M3",Aannames!$B$10+($O164-Aannames!$B$10)*(Aannames!$B$12+Aannames!$B$13),"M4",$O164),0))*$P164)</f>
        <v/>
      </c>
      <c r="U164" s="15"/>
    </row>
    <row r="165" customFormat="false" ht="15" hidden="false" customHeight="false" outlineLevel="0" collapsed="false">
      <c r="I165" s="15"/>
      <c r="N165" s="16"/>
      <c r="O165" s="17" t="str">
        <f aca="false">IF(OR($N165="",$N165=0),"",MAX(MIN($N165,Aannames!$B$5)*Aannames!$C$5+MAX(0,MIN($N165,Aannames!$B$6)-Aannames!$B$5)*Aannames!$C$6+MAX(0,MIN($N165,Aannames!$B$7)-Aannames!$B$6)*Aannames!$C$7+MAX(0,$N165-Aannames!$B$7)*Aannames!$C$8,Aannames!$B$9)+Aannames!$B$10)</f>
        <v/>
      </c>
      <c r="P165" s="18" t="str">
        <f aca="false">IF($L165="","",IFERROR(_xlfn.SWITCH($L165,"M1",Aannames!$B$16,"M2",Aannames!$B$17,"M3",Aannames!$B$18,"M4",Aannames!$B$19),""))</f>
        <v/>
      </c>
      <c r="Q165" s="17" t="str">
        <f aca="false">IF(OR($O165="",$P165=""),"",IFERROR(_xlfn.SWITCH($L165,"M1",Aannames!$B$10,"M2",Aannames!$B$10+($O165-Aannames!$B$10)*Aannames!$B$12,"M3",Aannames!$B$10+($O165-Aannames!$B$10)*(Aannames!$B$12+Aannames!$B$13),"M4",$O165),0)+($O165-IFERROR(_xlfn.SWITCH($L165,"M1",Aannames!$B$10,"M2",Aannames!$B$10+($O165-Aannames!$B$10)*Aannames!$B$12,"M3",Aannames!$B$10+($O165-Aannames!$B$10)*(Aannames!$B$12+Aannames!$B$13),"M4",$O165),0))*$P165)</f>
        <v/>
      </c>
      <c r="U165" s="15"/>
    </row>
    <row r="166" customFormat="false" ht="15" hidden="false" customHeight="false" outlineLevel="0" collapsed="false">
      <c r="I166" s="15"/>
      <c r="N166" s="16"/>
      <c r="O166" s="17" t="str">
        <f aca="false">IF(OR($N166="",$N166=0),"",MAX(MIN($N166,Aannames!$B$5)*Aannames!$C$5+MAX(0,MIN($N166,Aannames!$B$6)-Aannames!$B$5)*Aannames!$C$6+MAX(0,MIN($N166,Aannames!$B$7)-Aannames!$B$6)*Aannames!$C$7+MAX(0,$N166-Aannames!$B$7)*Aannames!$C$8,Aannames!$B$9)+Aannames!$B$10)</f>
        <v/>
      </c>
      <c r="P166" s="18" t="str">
        <f aca="false">IF($L166="","",IFERROR(_xlfn.SWITCH($L166,"M1",Aannames!$B$16,"M2",Aannames!$B$17,"M3",Aannames!$B$18,"M4",Aannames!$B$19),""))</f>
        <v/>
      </c>
      <c r="Q166" s="17" t="str">
        <f aca="false">IF(OR($O166="",$P166=""),"",IFERROR(_xlfn.SWITCH($L166,"M1",Aannames!$B$10,"M2",Aannames!$B$10+($O166-Aannames!$B$10)*Aannames!$B$12,"M3",Aannames!$B$10+($O166-Aannames!$B$10)*(Aannames!$B$12+Aannames!$B$13),"M4",$O166),0)+($O166-IFERROR(_xlfn.SWITCH($L166,"M1",Aannames!$B$10,"M2",Aannames!$B$10+($O166-Aannames!$B$10)*Aannames!$B$12,"M3",Aannames!$B$10+($O166-Aannames!$B$10)*(Aannames!$B$12+Aannames!$B$13),"M4",$O166),0))*$P166)</f>
        <v/>
      </c>
      <c r="U166" s="15"/>
    </row>
    <row r="167" customFormat="false" ht="15" hidden="false" customHeight="false" outlineLevel="0" collapsed="false">
      <c r="I167" s="15"/>
      <c r="N167" s="16"/>
      <c r="O167" s="17" t="str">
        <f aca="false">IF(OR($N167="",$N167=0),"",MAX(MIN($N167,Aannames!$B$5)*Aannames!$C$5+MAX(0,MIN($N167,Aannames!$B$6)-Aannames!$B$5)*Aannames!$C$6+MAX(0,MIN($N167,Aannames!$B$7)-Aannames!$B$6)*Aannames!$C$7+MAX(0,$N167-Aannames!$B$7)*Aannames!$C$8,Aannames!$B$9)+Aannames!$B$10)</f>
        <v/>
      </c>
      <c r="P167" s="18" t="str">
        <f aca="false">IF($L167="","",IFERROR(_xlfn.SWITCH($L167,"M1",Aannames!$B$16,"M2",Aannames!$B$17,"M3",Aannames!$B$18,"M4",Aannames!$B$19),""))</f>
        <v/>
      </c>
      <c r="Q167" s="17" t="str">
        <f aca="false">IF(OR($O167="",$P167=""),"",IFERROR(_xlfn.SWITCH($L167,"M1",Aannames!$B$10,"M2",Aannames!$B$10+($O167-Aannames!$B$10)*Aannames!$B$12,"M3",Aannames!$B$10+($O167-Aannames!$B$10)*(Aannames!$B$12+Aannames!$B$13),"M4",$O167),0)+($O167-IFERROR(_xlfn.SWITCH($L167,"M1",Aannames!$B$10,"M2",Aannames!$B$10+($O167-Aannames!$B$10)*Aannames!$B$12,"M3",Aannames!$B$10+($O167-Aannames!$B$10)*(Aannames!$B$12+Aannames!$B$13),"M4",$O167),0))*$P167)</f>
        <v/>
      </c>
      <c r="U167" s="15"/>
    </row>
    <row r="168" customFormat="false" ht="15" hidden="false" customHeight="false" outlineLevel="0" collapsed="false">
      <c r="I168" s="15"/>
      <c r="N168" s="16"/>
      <c r="O168" s="17" t="str">
        <f aca="false">IF(OR($N168="",$N168=0),"",MAX(MIN($N168,Aannames!$B$5)*Aannames!$C$5+MAX(0,MIN($N168,Aannames!$B$6)-Aannames!$B$5)*Aannames!$C$6+MAX(0,MIN($N168,Aannames!$B$7)-Aannames!$B$6)*Aannames!$C$7+MAX(0,$N168-Aannames!$B$7)*Aannames!$C$8,Aannames!$B$9)+Aannames!$B$10)</f>
        <v/>
      </c>
      <c r="P168" s="18" t="str">
        <f aca="false">IF($L168="","",IFERROR(_xlfn.SWITCH($L168,"M1",Aannames!$B$16,"M2",Aannames!$B$17,"M3",Aannames!$B$18,"M4",Aannames!$B$19),""))</f>
        <v/>
      </c>
      <c r="Q168" s="17" t="str">
        <f aca="false">IF(OR($O168="",$P168=""),"",IFERROR(_xlfn.SWITCH($L168,"M1",Aannames!$B$10,"M2",Aannames!$B$10+($O168-Aannames!$B$10)*Aannames!$B$12,"M3",Aannames!$B$10+($O168-Aannames!$B$10)*(Aannames!$B$12+Aannames!$B$13),"M4",$O168),0)+($O168-IFERROR(_xlfn.SWITCH($L168,"M1",Aannames!$B$10,"M2",Aannames!$B$10+($O168-Aannames!$B$10)*Aannames!$B$12,"M3",Aannames!$B$10+($O168-Aannames!$B$10)*(Aannames!$B$12+Aannames!$B$13),"M4",$O168),0))*$P168)</f>
        <v/>
      </c>
      <c r="U168" s="15"/>
    </row>
    <row r="169" customFormat="false" ht="15" hidden="false" customHeight="false" outlineLevel="0" collapsed="false">
      <c r="I169" s="15"/>
      <c r="N169" s="16"/>
      <c r="O169" s="17" t="str">
        <f aca="false">IF(OR($N169="",$N169=0),"",MAX(MIN($N169,Aannames!$B$5)*Aannames!$C$5+MAX(0,MIN($N169,Aannames!$B$6)-Aannames!$B$5)*Aannames!$C$6+MAX(0,MIN($N169,Aannames!$B$7)-Aannames!$B$6)*Aannames!$C$7+MAX(0,$N169-Aannames!$B$7)*Aannames!$C$8,Aannames!$B$9)+Aannames!$B$10)</f>
        <v/>
      </c>
      <c r="P169" s="18" t="str">
        <f aca="false">IF($L169="","",IFERROR(_xlfn.SWITCH($L169,"M1",Aannames!$B$16,"M2",Aannames!$B$17,"M3",Aannames!$B$18,"M4",Aannames!$B$19),""))</f>
        <v/>
      </c>
      <c r="Q169" s="17" t="str">
        <f aca="false">IF(OR($O169="",$P169=""),"",IFERROR(_xlfn.SWITCH($L169,"M1",Aannames!$B$10,"M2",Aannames!$B$10+($O169-Aannames!$B$10)*Aannames!$B$12,"M3",Aannames!$B$10+($O169-Aannames!$B$10)*(Aannames!$B$12+Aannames!$B$13),"M4",$O169),0)+($O169-IFERROR(_xlfn.SWITCH($L169,"M1",Aannames!$B$10,"M2",Aannames!$B$10+($O169-Aannames!$B$10)*Aannames!$B$12,"M3",Aannames!$B$10+($O169-Aannames!$B$10)*(Aannames!$B$12+Aannames!$B$13),"M4",$O169),0))*$P169)</f>
        <v/>
      </c>
      <c r="U169" s="15"/>
    </row>
    <row r="170" customFormat="false" ht="15" hidden="false" customHeight="false" outlineLevel="0" collapsed="false">
      <c r="I170" s="15"/>
      <c r="N170" s="16"/>
      <c r="O170" s="17" t="str">
        <f aca="false">IF(OR($N170="",$N170=0),"",MAX(MIN($N170,Aannames!$B$5)*Aannames!$C$5+MAX(0,MIN($N170,Aannames!$B$6)-Aannames!$B$5)*Aannames!$C$6+MAX(0,MIN($N170,Aannames!$B$7)-Aannames!$B$6)*Aannames!$C$7+MAX(0,$N170-Aannames!$B$7)*Aannames!$C$8,Aannames!$B$9)+Aannames!$B$10)</f>
        <v/>
      </c>
      <c r="P170" s="18" t="str">
        <f aca="false">IF($L170="","",IFERROR(_xlfn.SWITCH($L170,"M1",Aannames!$B$16,"M2",Aannames!$B$17,"M3",Aannames!$B$18,"M4",Aannames!$B$19),""))</f>
        <v/>
      </c>
      <c r="Q170" s="17" t="str">
        <f aca="false">IF(OR($O170="",$P170=""),"",IFERROR(_xlfn.SWITCH($L170,"M1",Aannames!$B$10,"M2",Aannames!$B$10+($O170-Aannames!$B$10)*Aannames!$B$12,"M3",Aannames!$B$10+($O170-Aannames!$B$10)*(Aannames!$B$12+Aannames!$B$13),"M4",$O170),0)+($O170-IFERROR(_xlfn.SWITCH($L170,"M1",Aannames!$B$10,"M2",Aannames!$B$10+($O170-Aannames!$B$10)*Aannames!$B$12,"M3",Aannames!$B$10+($O170-Aannames!$B$10)*(Aannames!$B$12+Aannames!$B$13),"M4",$O170),0))*$P170)</f>
        <v/>
      </c>
      <c r="U170" s="15"/>
    </row>
    <row r="171" customFormat="false" ht="15" hidden="false" customHeight="false" outlineLevel="0" collapsed="false">
      <c r="I171" s="15"/>
      <c r="N171" s="16"/>
      <c r="O171" s="17" t="str">
        <f aca="false">IF(OR($N171="",$N171=0),"",MAX(MIN($N171,Aannames!$B$5)*Aannames!$C$5+MAX(0,MIN($N171,Aannames!$B$6)-Aannames!$B$5)*Aannames!$C$6+MAX(0,MIN($N171,Aannames!$B$7)-Aannames!$B$6)*Aannames!$C$7+MAX(0,$N171-Aannames!$B$7)*Aannames!$C$8,Aannames!$B$9)+Aannames!$B$10)</f>
        <v/>
      </c>
      <c r="P171" s="18" t="str">
        <f aca="false">IF($L171="","",IFERROR(_xlfn.SWITCH($L171,"M1",Aannames!$B$16,"M2",Aannames!$B$17,"M3",Aannames!$B$18,"M4",Aannames!$B$19),""))</f>
        <v/>
      </c>
      <c r="Q171" s="17" t="str">
        <f aca="false">IF(OR($O171="",$P171=""),"",IFERROR(_xlfn.SWITCH($L171,"M1",Aannames!$B$10,"M2",Aannames!$B$10+($O171-Aannames!$B$10)*Aannames!$B$12,"M3",Aannames!$B$10+($O171-Aannames!$B$10)*(Aannames!$B$12+Aannames!$B$13),"M4",$O171),0)+($O171-IFERROR(_xlfn.SWITCH($L171,"M1",Aannames!$B$10,"M2",Aannames!$B$10+($O171-Aannames!$B$10)*Aannames!$B$12,"M3",Aannames!$B$10+($O171-Aannames!$B$10)*(Aannames!$B$12+Aannames!$B$13),"M4",$O171),0))*$P171)</f>
        <v/>
      </c>
      <c r="U171" s="15"/>
    </row>
    <row r="172" customFormat="false" ht="15" hidden="false" customHeight="false" outlineLevel="0" collapsed="false">
      <c r="I172" s="15"/>
      <c r="N172" s="16"/>
      <c r="O172" s="17" t="str">
        <f aca="false">IF(OR($N172="",$N172=0),"",MAX(MIN($N172,Aannames!$B$5)*Aannames!$C$5+MAX(0,MIN($N172,Aannames!$B$6)-Aannames!$B$5)*Aannames!$C$6+MAX(0,MIN($N172,Aannames!$B$7)-Aannames!$B$6)*Aannames!$C$7+MAX(0,$N172-Aannames!$B$7)*Aannames!$C$8,Aannames!$B$9)+Aannames!$B$10)</f>
        <v/>
      </c>
      <c r="P172" s="18" t="str">
        <f aca="false">IF($L172="","",IFERROR(_xlfn.SWITCH($L172,"M1",Aannames!$B$16,"M2",Aannames!$B$17,"M3",Aannames!$B$18,"M4",Aannames!$B$19),""))</f>
        <v/>
      </c>
      <c r="Q172" s="17" t="str">
        <f aca="false">IF(OR($O172="",$P172=""),"",IFERROR(_xlfn.SWITCH($L172,"M1",Aannames!$B$10,"M2",Aannames!$B$10+($O172-Aannames!$B$10)*Aannames!$B$12,"M3",Aannames!$B$10+($O172-Aannames!$B$10)*(Aannames!$B$12+Aannames!$B$13),"M4",$O172),0)+($O172-IFERROR(_xlfn.SWITCH($L172,"M1",Aannames!$B$10,"M2",Aannames!$B$10+($O172-Aannames!$B$10)*Aannames!$B$12,"M3",Aannames!$B$10+($O172-Aannames!$B$10)*(Aannames!$B$12+Aannames!$B$13),"M4",$O172),0))*$P172)</f>
        <v/>
      </c>
      <c r="U172" s="15"/>
    </row>
    <row r="173" customFormat="false" ht="15" hidden="false" customHeight="false" outlineLevel="0" collapsed="false">
      <c r="I173" s="15"/>
      <c r="N173" s="16"/>
      <c r="O173" s="17" t="str">
        <f aca="false">IF(OR($N173="",$N173=0),"",MAX(MIN($N173,Aannames!$B$5)*Aannames!$C$5+MAX(0,MIN($N173,Aannames!$B$6)-Aannames!$B$5)*Aannames!$C$6+MAX(0,MIN($N173,Aannames!$B$7)-Aannames!$B$6)*Aannames!$C$7+MAX(0,$N173-Aannames!$B$7)*Aannames!$C$8,Aannames!$B$9)+Aannames!$B$10)</f>
        <v/>
      </c>
      <c r="P173" s="18" t="str">
        <f aca="false">IF($L173="","",IFERROR(_xlfn.SWITCH($L173,"M1",Aannames!$B$16,"M2",Aannames!$B$17,"M3",Aannames!$B$18,"M4",Aannames!$B$19),""))</f>
        <v/>
      </c>
      <c r="Q173" s="17" t="str">
        <f aca="false">IF(OR($O173="",$P173=""),"",IFERROR(_xlfn.SWITCH($L173,"M1",Aannames!$B$10,"M2",Aannames!$B$10+($O173-Aannames!$B$10)*Aannames!$B$12,"M3",Aannames!$B$10+($O173-Aannames!$B$10)*(Aannames!$B$12+Aannames!$B$13),"M4",$O173),0)+($O173-IFERROR(_xlfn.SWITCH($L173,"M1",Aannames!$B$10,"M2",Aannames!$B$10+($O173-Aannames!$B$10)*Aannames!$B$12,"M3",Aannames!$B$10+($O173-Aannames!$B$10)*(Aannames!$B$12+Aannames!$B$13),"M4",$O173),0))*$P173)</f>
        <v/>
      </c>
      <c r="U173" s="15"/>
    </row>
    <row r="174" customFormat="false" ht="15" hidden="false" customHeight="false" outlineLevel="0" collapsed="false">
      <c r="I174" s="15"/>
      <c r="N174" s="16"/>
      <c r="O174" s="17" t="str">
        <f aca="false">IF(OR($N174="",$N174=0),"",MAX(MIN($N174,Aannames!$B$5)*Aannames!$C$5+MAX(0,MIN($N174,Aannames!$B$6)-Aannames!$B$5)*Aannames!$C$6+MAX(0,MIN($N174,Aannames!$B$7)-Aannames!$B$6)*Aannames!$C$7+MAX(0,$N174-Aannames!$B$7)*Aannames!$C$8,Aannames!$B$9)+Aannames!$B$10)</f>
        <v/>
      </c>
      <c r="P174" s="18" t="str">
        <f aca="false">IF($L174="","",IFERROR(_xlfn.SWITCH($L174,"M1",Aannames!$B$16,"M2",Aannames!$B$17,"M3",Aannames!$B$18,"M4",Aannames!$B$19),""))</f>
        <v/>
      </c>
      <c r="Q174" s="17" t="str">
        <f aca="false">IF(OR($O174="",$P174=""),"",IFERROR(_xlfn.SWITCH($L174,"M1",Aannames!$B$10,"M2",Aannames!$B$10+($O174-Aannames!$B$10)*Aannames!$B$12,"M3",Aannames!$B$10+($O174-Aannames!$B$10)*(Aannames!$B$12+Aannames!$B$13),"M4",$O174),0)+($O174-IFERROR(_xlfn.SWITCH($L174,"M1",Aannames!$B$10,"M2",Aannames!$B$10+($O174-Aannames!$B$10)*Aannames!$B$12,"M3",Aannames!$B$10+($O174-Aannames!$B$10)*(Aannames!$B$12+Aannames!$B$13),"M4",$O174),0))*$P174)</f>
        <v/>
      </c>
      <c r="U174" s="15"/>
    </row>
    <row r="175" customFormat="false" ht="15" hidden="false" customHeight="false" outlineLevel="0" collapsed="false">
      <c r="I175" s="15"/>
      <c r="N175" s="16"/>
      <c r="O175" s="17" t="str">
        <f aca="false">IF(OR($N175="",$N175=0),"",MAX(MIN($N175,Aannames!$B$5)*Aannames!$C$5+MAX(0,MIN($N175,Aannames!$B$6)-Aannames!$B$5)*Aannames!$C$6+MAX(0,MIN($N175,Aannames!$B$7)-Aannames!$B$6)*Aannames!$C$7+MAX(0,$N175-Aannames!$B$7)*Aannames!$C$8,Aannames!$B$9)+Aannames!$B$10)</f>
        <v/>
      </c>
      <c r="P175" s="18" t="str">
        <f aca="false">IF($L175="","",IFERROR(_xlfn.SWITCH($L175,"M1",Aannames!$B$16,"M2",Aannames!$B$17,"M3",Aannames!$B$18,"M4",Aannames!$B$19),""))</f>
        <v/>
      </c>
      <c r="Q175" s="17" t="str">
        <f aca="false">IF(OR($O175="",$P175=""),"",IFERROR(_xlfn.SWITCH($L175,"M1",Aannames!$B$10,"M2",Aannames!$B$10+($O175-Aannames!$B$10)*Aannames!$B$12,"M3",Aannames!$B$10+($O175-Aannames!$B$10)*(Aannames!$B$12+Aannames!$B$13),"M4",$O175),0)+($O175-IFERROR(_xlfn.SWITCH($L175,"M1",Aannames!$B$10,"M2",Aannames!$B$10+($O175-Aannames!$B$10)*Aannames!$B$12,"M3",Aannames!$B$10+($O175-Aannames!$B$10)*(Aannames!$B$12+Aannames!$B$13),"M4",$O175),0))*$P175)</f>
        <v/>
      </c>
      <c r="U175" s="15"/>
    </row>
    <row r="176" customFormat="false" ht="15" hidden="false" customHeight="false" outlineLevel="0" collapsed="false">
      <c r="I176" s="15"/>
      <c r="N176" s="16"/>
      <c r="O176" s="17" t="str">
        <f aca="false">IF(OR($N176="",$N176=0),"",MAX(MIN($N176,Aannames!$B$5)*Aannames!$C$5+MAX(0,MIN($N176,Aannames!$B$6)-Aannames!$B$5)*Aannames!$C$6+MAX(0,MIN($N176,Aannames!$B$7)-Aannames!$B$6)*Aannames!$C$7+MAX(0,$N176-Aannames!$B$7)*Aannames!$C$8,Aannames!$B$9)+Aannames!$B$10)</f>
        <v/>
      </c>
      <c r="P176" s="18" t="str">
        <f aca="false">IF($L176="","",IFERROR(_xlfn.SWITCH($L176,"M1",Aannames!$B$16,"M2",Aannames!$B$17,"M3",Aannames!$B$18,"M4",Aannames!$B$19),""))</f>
        <v/>
      </c>
      <c r="Q176" s="17" t="str">
        <f aca="false">IF(OR($O176="",$P176=""),"",IFERROR(_xlfn.SWITCH($L176,"M1",Aannames!$B$10,"M2",Aannames!$B$10+($O176-Aannames!$B$10)*Aannames!$B$12,"M3",Aannames!$B$10+($O176-Aannames!$B$10)*(Aannames!$B$12+Aannames!$B$13),"M4",$O176),0)+($O176-IFERROR(_xlfn.SWITCH($L176,"M1",Aannames!$B$10,"M2",Aannames!$B$10+($O176-Aannames!$B$10)*Aannames!$B$12,"M3",Aannames!$B$10+($O176-Aannames!$B$10)*(Aannames!$B$12+Aannames!$B$13),"M4",$O176),0))*$P176)</f>
        <v/>
      </c>
      <c r="U176" s="15"/>
    </row>
    <row r="177" customFormat="false" ht="15" hidden="false" customHeight="false" outlineLevel="0" collapsed="false">
      <c r="I177" s="15"/>
      <c r="N177" s="16"/>
      <c r="O177" s="17" t="str">
        <f aca="false">IF(OR($N177="",$N177=0),"",MAX(MIN($N177,Aannames!$B$5)*Aannames!$C$5+MAX(0,MIN($N177,Aannames!$B$6)-Aannames!$B$5)*Aannames!$C$6+MAX(0,MIN($N177,Aannames!$B$7)-Aannames!$B$6)*Aannames!$C$7+MAX(0,$N177-Aannames!$B$7)*Aannames!$C$8,Aannames!$B$9)+Aannames!$B$10)</f>
        <v/>
      </c>
      <c r="P177" s="18" t="str">
        <f aca="false">IF($L177="","",IFERROR(_xlfn.SWITCH($L177,"M1",Aannames!$B$16,"M2",Aannames!$B$17,"M3",Aannames!$B$18,"M4",Aannames!$B$19),""))</f>
        <v/>
      </c>
      <c r="Q177" s="17" t="str">
        <f aca="false">IF(OR($O177="",$P177=""),"",IFERROR(_xlfn.SWITCH($L177,"M1",Aannames!$B$10,"M2",Aannames!$B$10+($O177-Aannames!$B$10)*Aannames!$B$12,"M3",Aannames!$B$10+($O177-Aannames!$B$10)*(Aannames!$B$12+Aannames!$B$13),"M4",$O177),0)+($O177-IFERROR(_xlfn.SWITCH($L177,"M1",Aannames!$B$10,"M2",Aannames!$B$10+($O177-Aannames!$B$10)*Aannames!$B$12,"M3",Aannames!$B$10+($O177-Aannames!$B$10)*(Aannames!$B$12+Aannames!$B$13),"M4",$O177),0))*$P177)</f>
        <v/>
      </c>
      <c r="U177" s="15"/>
    </row>
    <row r="178" customFormat="false" ht="15" hidden="false" customHeight="false" outlineLevel="0" collapsed="false">
      <c r="I178" s="15"/>
      <c r="N178" s="16"/>
      <c r="O178" s="17" t="str">
        <f aca="false">IF(OR($N178="",$N178=0),"",MAX(MIN($N178,Aannames!$B$5)*Aannames!$C$5+MAX(0,MIN($N178,Aannames!$B$6)-Aannames!$B$5)*Aannames!$C$6+MAX(0,MIN($N178,Aannames!$B$7)-Aannames!$B$6)*Aannames!$C$7+MAX(0,$N178-Aannames!$B$7)*Aannames!$C$8,Aannames!$B$9)+Aannames!$B$10)</f>
        <v/>
      </c>
      <c r="P178" s="18" t="str">
        <f aca="false">IF($L178="","",IFERROR(_xlfn.SWITCH($L178,"M1",Aannames!$B$16,"M2",Aannames!$B$17,"M3",Aannames!$B$18,"M4",Aannames!$B$19),""))</f>
        <v/>
      </c>
      <c r="Q178" s="17" t="str">
        <f aca="false">IF(OR($O178="",$P178=""),"",IFERROR(_xlfn.SWITCH($L178,"M1",Aannames!$B$10,"M2",Aannames!$B$10+($O178-Aannames!$B$10)*Aannames!$B$12,"M3",Aannames!$B$10+($O178-Aannames!$B$10)*(Aannames!$B$12+Aannames!$B$13),"M4",$O178),0)+($O178-IFERROR(_xlfn.SWITCH($L178,"M1",Aannames!$B$10,"M2",Aannames!$B$10+($O178-Aannames!$B$10)*Aannames!$B$12,"M3",Aannames!$B$10+($O178-Aannames!$B$10)*(Aannames!$B$12+Aannames!$B$13),"M4",$O178),0))*$P178)</f>
        <v/>
      </c>
      <c r="U178" s="15"/>
    </row>
    <row r="179" customFormat="false" ht="15" hidden="false" customHeight="false" outlineLevel="0" collapsed="false">
      <c r="I179" s="15"/>
      <c r="N179" s="16"/>
      <c r="O179" s="17" t="str">
        <f aca="false">IF(OR($N179="",$N179=0),"",MAX(MIN($N179,Aannames!$B$5)*Aannames!$C$5+MAX(0,MIN($N179,Aannames!$B$6)-Aannames!$B$5)*Aannames!$C$6+MAX(0,MIN($N179,Aannames!$B$7)-Aannames!$B$6)*Aannames!$C$7+MAX(0,$N179-Aannames!$B$7)*Aannames!$C$8,Aannames!$B$9)+Aannames!$B$10)</f>
        <v/>
      </c>
      <c r="P179" s="18" t="str">
        <f aca="false">IF($L179="","",IFERROR(_xlfn.SWITCH($L179,"M1",Aannames!$B$16,"M2",Aannames!$B$17,"M3",Aannames!$B$18,"M4",Aannames!$B$19),""))</f>
        <v/>
      </c>
      <c r="Q179" s="17" t="str">
        <f aca="false">IF(OR($O179="",$P179=""),"",IFERROR(_xlfn.SWITCH($L179,"M1",Aannames!$B$10,"M2",Aannames!$B$10+($O179-Aannames!$B$10)*Aannames!$B$12,"M3",Aannames!$B$10+($O179-Aannames!$B$10)*(Aannames!$B$12+Aannames!$B$13),"M4",$O179),0)+($O179-IFERROR(_xlfn.SWITCH($L179,"M1",Aannames!$B$10,"M2",Aannames!$B$10+($O179-Aannames!$B$10)*Aannames!$B$12,"M3",Aannames!$B$10+($O179-Aannames!$B$10)*(Aannames!$B$12+Aannames!$B$13),"M4",$O179),0))*$P179)</f>
        <v/>
      </c>
      <c r="U179" s="15"/>
    </row>
    <row r="180" customFormat="false" ht="15" hidden="false" customHeight="false" outlineLevel="0" collapsed="false">
      <c r="I180" s="15"/>
      <c r="N180" s="16"/>
      <c r="O180" s="17" t="str">
        <f aca="false">IF(OR($N180="",$N180=0),"",MAX(MIN($N180,Aannames!$B$5)*Aannames!$C$5+MAX(0,MIN($N180,Aannames!$B$6)-Aannames!$B$5)*Aannames!$C$6+MAX(0,MIN($N180,Aannames!$B$7)-Aannames!$B$6)*Aannames!$C$7+MAX(0,$N180-Aannames!$B$7)*Aannames!$C$8,Aannames!$B$9)+Aannames!$B$10)</f>
        <v/>
      </c>
      <c r="P180" s="18" t="str">
        <f aca="false">IF($L180="","",IFERROR(_xlfn.SWITCH($L180,"M1",Aannames!$B$16,"M2",Aannames!$B$17,"M3",Aannames!$B$18,"M4",Aannames!$B$19),""))</f>
        <v/>
      </c>
      <c r="Q180" s="17" t="str">
        <f aca="false">IF(OR($O180="",$P180=""),"",IFERROR(_xlfn.SWITCH($L180,"M1",Aannames!$B$10,"M2",Aannames!$B$10+($O180-Aannames!$B$10)*Aannames!$B$12,"M3",Aannames!$B$10+($O180-Aannames!$B$10)*(Aannames!$B$12+Aannames!$B$13),"M4",$O180),0)+($O180-IFERROR(_xlfn.SWITCH($L180,"M1",Aannames!$B$10,"M2",Aannames!$B$10+($O180-Aannames!$B$10)*Aannames!$B$12,"M3",Aannames!$B$10+($O180-Aannames!$B$10)*(Aannames!$B$12+Aannames!$B$13),"M4",$O180),0))*$P180)</f>
        <v/>
      </c>
      <c r="U180" s="15"/>
    </row>
    <row r="181" customFormat="false" ht="15" hidden="false" customHeight="false" outlineLevel="0" collapsed="false">
      <c r="I181" s="15"/>
      <c r="N181" s="16"/>
      <c r="O181" s="17" t="str">
        <f aca="false">IF(OR($N181="",$N181=0),"",MAX(MIN($N181,Aannames!$B$5)*Aannames!$C$5+MAX(0,MIN($N181,Aannames!$B$6)-Aannames!$B$5)*Aannames!$C$6+MAX(0,MIN($N181,Aannames!$B$7)-Aannames!$B$6)*Aannames!$C$7+MAX(0,$N181-Aannames!$B$7)*Aannames!$C$8,Aannames!$B$9)+Aannames!$B$10)</f>
        <v/>
      </c>
      <c r="P181" s="18" t="str">
        <f aca="false">IF($L181="","",IFERROR(_xlfn.SWITCH($L181,"M1",Aannames!$B$16,"M2",Aannames!$B$17,"M3",Aannames!$B$18,"M4",Aannames!$B$19),""))</f>
        <v/>
      </c>
      <c r="Q181" s="17" t="str">
        <f aca="false">IF(OR($O181="",$P181=""),"",IFERROR(_xlfn.SWITCH($L181,"M1",Aannames!$B$10,"M2",Aannames!$B$10+($O181-Aannames!$B$10)*Aannames!$B$12,"M3",Aannames!$B$10+($O181-Aannames!$B$10)*(Aannames!$B$12+Aannames!$B$13),"M4",$O181),0)+($O181-IFERROR(_xlfn.SWITCH($L181,"M1",Aannames!$B$10,"M2",Aannames!$B$10+($O181-Aannames!$B$10)*Aannames!$B$12,"M3",Aannames!$B$10+($O181-Aannames!$B$10)*(Aannames!$B$12+Aannames!$B$13),"M4",$O181),0))*$P181)</f>
        <v/>
      </c>
      <c r="U181" s="15"/>
    </row>
    <row r="182" customFormat="false" ht="15" hidden="false" customHeight="false" outlineLevel="0" collapsed="false">
      <c r="I182" s="15"/>
      <c r="N182" s="16"/>
      <c r="O182" s="17" t="str">
        <f aca="false">IF(OR($N182="",$N182=0),"",MAX(MIN($N182,Aannames!$B$5)*Aannames!$C$5+MAX(0,MIN($N182,Aannames!$B$6)-Aannames!$B$5)*Aannames!$C$6+MAX(0,MIN($N182,Aannames!$B$7)-Aannames!$B$6)*Aannames!$C$7+MAX(0,$N182-Aannames!$B$7)*Aannames!$C$8,Aannames!$B$9)+Aannames!$B$10)</f>
        <v/>
      </c>
      <c r="P182" s="18" t="str">
        <f aca="false">IF($L182="","",IFERROR(_xlfn.SWITCH($L182,"M1",Aannames!$B$16,"M2",Aannames!$B$17,"M3",Aannames!$B$18,"M4",Aannames!$B$19),""))</f>
        <v/>
      </c>
      <c r="Q182" s="17" t="str">
        <f aca="false">IF(OR($O182="",$P182=""),"",IFERROR(_xlfn.SWITCH($L182,"M1",Aannames!$B$10,"M2",Aannames!$B$10+($O182-Aannames!$B$10)*Aannames!$B$12,"M3",Aannames!$B$10+($O182-Aannames!$B$10)*(Aannames!$B$12+Aannames!$B$13),"M4",$O182),0)+($O182-IFERROR(_xlfn.SWITCH($L182,"M1",Aannames!$B$10,"M2",Aannames!$B$10+($O182-Aannames!$B$10)*Aannames!$B$12,"M3",Aannames!$B$10+($O182-Aannames!$B$10)*(Aannames!$B$12+Aannames!$B$13),"M4",$O182),0))*$P182)</f>
        <v/>
      </c>
      <c r="U182" s="15"/>
    </row>
    <row r="183" customFormat="false" ht="15" hidden="false" customHeight="false" outlineLevel="0" collapsed="false">
      <c r="I183" s="15"/>
      <c r="N183" s="16"/>
      <c r="O183" s="17" t="str">
        <f aca="false">IF(OR($N183="",$N183=0),"",MAX(MIN($N183,Aannames!$B$5)*Aannames!$C$5+MAX(0,MIN($N183,Aannames!$B$6)-Aannames!$B$5)*Aannames!$C$6+MAX(0,MIN($N183,Aannames!$B$7)-Aannames!$B$6)*Aannames!$C$7+MAX(0,$N183-Aannames!$B$7)*Aannames!$C$8,Aannames!$B$9)+Aannames!$B$10)</f>
        <v/>
      </c>
      <c r="P183" s="18" t="str">
        <f aca="false">IF($L183="","",IFERROR(_xlfn.SWITCH($L183,"M1",Aannames!$B$16,"M2",Aannames!$B$17,"M3",Aannames!$B$18,"M4",Aannames!$B$19),""))</f>
        <v/>
      </c>
      <c r="Q183" s="17" t="str">
        <f aca="false">IF(OR($O183="",$P183=""),"",IFERROR(_xlfn.SWITCH($L183,"M1",Aannames!$B$10,"M2",Aannames!$B$10+($O183-Aannames!$B$10)*Aannames!$B$12,"M3",Aannames!$B$10+($O183-Aannames!$B$10)*(Aannames!$B$12+Aannames!$B$13),"M4",$O183),0)+($O183-IFERROR(_xlfn.SWITCH($L183,"M1",Aannames!$B$10,"M2",Aannames!$B$10+($O183-Aannames!$B$10)*Aannames!$B$12,"M3",Aannames!$B$10+($O183-Aannames!$B$10)*(Aannames!$B$12+Aannames!$B$13),"M4",$O183),0))*$P183)</f>
        <v/>
      </c>
      <c r="U183" s="15"/>
    </row>
    <row r="184" customFormat="false" ht="15" hidden="false" customHeight="false" outlineLevel="0" collapsed="false">
      <c r="I184" s="15"/>
      <c r="N184" s="16"/>
      <c r="O184" s="17" t="str">
        <f aca="false">IF(OR($N184="",$N184=0),"",MAX(MIN($N184,Aannames!$B$5)*Aannames!$C$5+MAX(0,MIN($N184,Aannames!$B$6)-Aannames!$B$5)*Aannames!$C$6+MAX(0,MIN($N184,Aannames!$B$7)-Aannames!$B$6)*Aannames!$C$7+MAX(0,$N184-Aannames!$B$7)*Aannames!$C$8,Aannames!$B$9)+Aannames!$B$10)</f>
        <v/>
      </c>
      <c r="P184" s="18" t="str">
        <f aca="false">IF($L184="","",IFERROR(_xlfn.SWITCH($L184,"M1",Aannames!$B$16,"M2",Aannames!$B$17,"M3",Aannames!$B$18,"M4",Aannames!$B$19),""))</f>
        <v/>
      </c>
      <c r="Q184" s="17" t="str">
        <f aca="false">IF(OR($O184="",$P184=""),"",IFERROR(_xlfn.SWITCH($L184,"M1",Aannames!$B$10,"M2",Aannames!$B$10+($O184-Aannames!$B$10)*Aannames!$B$12,"M3",Aannames!$B$10+($O184-Aannames!$B$10)*(Aannames!$B$12+Aannames!$B$13),"M4",$O184),0)+($O184-IFERROR(_xlfn.SWITCH($L184,"M1",Aannames!$B$10,"M2",Aannames!$B$10+($O184-Aannames!$B$10)*Aannames!$B$12,"M3",Aannames!$B$10+($O184-Aannames!$B$10)*(Aannames!$B$12+Aannames!$B$13),"M4",$O184),0))*$P184)</f>
        <v/>
      </c>
      <c r="U184" s="15"/>
    </row>
    <row r="185" customFormat="false" ht="15" hidden="false" customHeight="false" outlineLevel="0" collapsed="false">
      <c r="I185" s="15"/>
      <c r="N185" s="16"/>
      <c r="O185" s="17" t="str">
        <f aca="false">IF(OR($N185="",$N185=0),"",MAX(MIN($N185,Aannames!$B$5)*Aannames!$C$5+MAX(0,MIN($N185,Aannames!$B$6)-Aannames!$B$5)*Aannames!$C$6+MAX(0,MIN($N185,Aannames!$B$7)-Aannames!$B$6)*Aannames!$C$7+MAX(0,$N185-Aannames!$B$7)*Aannames!$C$8,Aannames!$B$9)+Aannames!$B$10)</f>
        <v/>
      </c>
      <c r="P185" s="18" t="str">
        <f aca="false">IF($L185="","",IFERROR(_xlfn.SWITCH($L185,"M1",Aannames!$B$16,"M2",Aannames!$B$17,"M3",Aannames!$B$18,"M4",Aannames!$B$19),""))</f>
        <v/>
      </c>
      <c r="Q185" s="17" t="str">
        <f aca="false">IF(OR($O185="",$P185=""),"",IFERROR(_xlfn.SWITCH($L185,"M1",Aannames!$B$10,"M2",Aannames!$B$10+($O185-Aannames!$B$10)*Aannames!$B$12,"M3",Aannames!$B$10+($O185-Aannames!$B$10)*(Aannames!$B$12+Aannames!$B$13),"M4",$O185),0)+($O185-IFERROR(_xlfn.SWITCH($L185,"M1",Aannames!$B$10,"M2",Aannames!$B$10+($O185-Aannames!$B$10)*Aannames!$B$12,"M3",Aannames!$B$10+($O185-Aannames!$B$10)*(Aannames!$B$12+Aannames!$B$13),"M4",$O185),0))*$P185)</f>
        <v/>
      </c>
      <c r="U185" s="15"/>
    </row>
    <row r="186" customFormat="false" ht="15" hidden="false" customHeight="false" outlineLevel="0" collapsed="false">
      <c r="I186" s="15"/>
      <c r="N186" s="16"/>
      <c r="O186" s="17" t="str">
        <f aca="false">IF(OR($N186="",$N186=0),"",MAX(MIN($N186,Aannames!$B$5)*Aannames!$C$5+MAX(0,MIN($N186,Aannames!$B$6)-Aannames!$B$5)*Aannames!$C$6+MAX(0,MIN($N186,Aannames!$B$7)-Aannames!$B$6)*Aannames!$C$7+MAX(0,$N186-Aannames!$B$7)*Aannames!$C$8,Aannames!$B$9)+Aannames!$B$10)</f>
        <v/>
      </c>
      <c r="P186" s="18" t="str">
        <f aca="false">IF($L186="","",IFERROR(_xlfn.SWITCH($L186,"M1",Aannames!$B$16,"M2",Aannames!$B$17,"M3",Aannames!$B$18,"M4",Aannames!$B$19),""))</f>
        <v/>
      </c>
      <c r="Q186" s="17" t="str">
        <f aca="false">IF(OR($O186="",$P186=""),"",IFERROR(_xlfn.SWITCH($L186,"M1",Aannames!$B$10,"M2",Aannames!$B$10+($O186-Aannames!$B$10)*Aannames!$B$12,"M3",Aannames!$B$10+($O186-Aannames!$B$10)*(Aannames!$B$12+Aannames!$B$13),"M4",$O186),0)+($O186-IFERROR(_xlfn.SWITCH($L186,"M1",Aannames!$B$10,"M2",Aannames!$B$10+($O186-Aannames!$B$10)*Aannames!$B$12,"M3",Aannames!$B$10+($O186-Aannames!$B$10)*(Aannames!$B$12+Aannames!$B$13),"M4",$O186),0))*$P186)</f>
        <v/>
      </c>
      <c r="U186" s="15"/>
    </row>
    <row r="187" customFormat="false" ht="15" hidden="false" customHeight="false" outlineLevel="0" collapsed="false">
      <c r="I187" s="15"/>
      <c r="N187" s="16"/>
      <c r="O187" s="17" t="str">
        <f aca="false">IF(OR($N187="",$N187=0),"",MAX(MIN($N187,Aannames!$B$5)*Aannames!$C$5+MAX(0,MIN($N187,Aannames!$B$6)-Aannames!$B$5)*Aannames!$C$6+MAX(0,MIN($N187,Aannames!$B$7)-Aannames!$B$6)*Aannames!$C$7+MAX(0,$N187-Aannames!$B$7)*Aannames!$C$8,Aannames!$B$9)+Aannames!$B$10)</f>
        <v/>
      </c>
      <c r="P187" s="18" t="str">
        <f aca="false">IF($L187="","",IFERROR(_xlfn.SWITCH($L187,"M1",Aannames!$B$16,"M2",Aannames!$B$17,"M3",Aannames!$B$18,"M4",Aannames!$B$19),""))</f>
        <v/>
      </c>
      <c r="Q187" s="17" t="str">
        <f aca="false">IF(OR($O187="",$P187=""),"",IFERROR(_xlfn.SWITCH($L187,"M1",Aannames!$B$10,"M2",Aannames!$B$10+($O187-Aannames!$B$10)*Aannames!$B$12,"M3",Aannames!$B$10+($O187-Aannames!$B$10)*(Aannames!$B$12+Aannames!$B$13),"M4",$O187),0)+($O187-IFERROR(_xlfn.SWITCH($L187,"M1",Aannames!$B$10,"M2",Aannames!$B$10+($O187-Aannames!$B$10)*Aannames!$B$12,"M3",Aannames!$B$10+($O187-Aannames!$B$10)*(Aannames!$B$12+Aannames!$B$13),"M4",$O187),0))*$P187)</f>
        <v/>
      </c>
      <c r="U187" s="15"/>
    </row>
    <row r="188" customFormat="false" ht="15" hidden="false" customHeight="false" outlineLevel="0" collapsed="false">
      <c r="I188" s="15"/>
      <c r="N188" s="16"/>
      <c r="O188" s="17" t="str">
        <f aca="false">IF(OR($N188="",$N188=0),"",MAX(MIN($N188,Aannames!$B$5)*Aannames!$C$5+MAX(0,MIN($N188,Aannames!$B$6)-Aannames!$B$5)*Aannames!$C$6+MAX(0,MIN($N188,Aannames!$B$7)-Aannames!$B$6)*Aannames!$C$7+MAX(0,$N188-Aannames!$B$7)*Aannames!$C$8,Aannames!$B$9)+Aannames!$B$10)</f>
        <v/>
      </c>
      <c r="P188" s="18" t="str">
        <f aca="false">IF($L188="","",IFERROR(_xlfn.SWITCH($L188,"M1",Aannames!$B$16,"M2",Aannames!$B$17,"M3",Aannames!$B$18,"M4",Aannames!$B$19),""))</f>
        <v/>
      </c>
      <c r="Q188" s="17" t="str">
        <f aca="false">IF(OR($O188="",$P188=""),"",IFERROR(_xlfn.SWITCH($L188,"M1",Aannames!$B$10,"M2",Aannames!$B$10+($O188-Aannames!$B$10)*Aannames!$B$12,"M3",Aannames!$B$10+($O188-Aannames!$B$10)*(Aannames!$B$12+Aannames!$B$13),"M4",$O188),0)+($O188-IFERROR(_xlfn.SWITCH($L188,"M1",Aannames!$B$10,"M2",Aannames!$B$10+($O188-Aannames!$B$10)*Aannames!$B$12,"M3",Aannames!$B$10+($O188-Aannames!$B$10)*(Aannames!$B$12+Aannames!$B$13),"M4",$O188),0))*$P188)</f>
        <v/>
      </c>
      <c r="U188" s="15"/>
    </row>
    <row r="189" customFormat="false" ht="15" hidden="false" customHeight="false" outlineLevel="0" collapsed="false">
      <c r="I189" s="15"/>
      <c r="N189" s="16"/>
      <c r="O189" s="17" t="str">
        <f aca="false">IF(OR($N189="",$N189=0),"",MAX(MIN($N189,Aannames!$B$5)*Aannames!$C$5+MAX(0,MIN($N189,Aannames!$B$6)-Aannames!$B$5)*Aannames!$C$6+MAX(0,MIN($N189,Aannames!$B$7)-Aannames!$B$6)*Aannames!$C$7+MAX(0,$N189-Aannames!$B$7)*Aannames!$C$8,Aannames!$B$9)+Aannames!$B$10)</f>
        <v/>
      </c>
      <c r="P189" s="18" t="str">
        <f aca="false">IF($L189="","",IFERROR(_xlfn.SWITCH($L189,"M1",Aannames!$B$16,"M2",Aannames!$B$17,"M3",Aannames!$B$18,"M4",Aannames!$B$19),""))</f>
        <v/>
      </c>
      <c r="Q189" s="17" t="str">
        <f aca="false">IF(OR($O189="",$P189=""),"",IFERROR(_xlfn.SWITCH($L189,"M1",Aannames!$B$10,"M2",Aannames!$B$10+($O189-Aannames!$B$10)*Aannames!$B$12,"M3",Aannames!$B$10+($O189-Aannames!$B$10)*(Aannames!$B$12+Aannames!$B$13),"M4",$O189),0)+($O189-IFERROR(_xlfn.SWITCH($L189,"M1",Aannames!$B$10,"M2",Aannames!$B$10+($O189-Aannames!$B$10)*Aannames!$B$12,"M3",Aannames!$B$10+($O189-Aannames!$B$10)*(Aannames!$B$12+Aannames!$B$13),"M4",$O189),0))*$P189)</f>
        <v/>
      </c>
      <c r="U189" s="15"/>
    </row>
    <row r="190" customFormat="false" ht="15" hidden="false" customHeight="false" outlineLevel="0" collapsed="false">
      <c r="I190" s="15"/>
      <c r="N190" s="16"/>
      <c r="O190" s="17" t="str">
        <f aca="false">IF(OR($N190="",$N190=0),"",MAX(MIN($N190,Aannames!$B$5)*Aannames!$C$5+MAX(0,MIN($N190,Aannames!$B$6)-Aannames!$B$5)*Aannames!$C$6+MAX(0,MIN($N190,Aannames!$B$7)-Aannames!$B$6)*Aannames!$C$7+MAX(0,$N190-Aannames!$B$7)*Aannames!$C$8,Aannames!$B$9)+Aannames!$B$10)</f>
        <v/>
      </c>
      <c r="P190" s="18" t="str">
        <f aca="false">IF($L190="","",IFERROR(_xlfn.SWITCH($L190,"M1",Aannames!$B$16,"M2",Aannames!$B$17,"M3",Aannames!$B$18,"M4",Aannames!$B$19),""))</f>
        <v/>
      </c>
      <c r="Q190" s="17" t="str">
        <f aca="false">IF(OR($O190="",$P190=""),"",IFERROR(_xlfn.SWITCH($L190,"M1",Aannames!$B$10,"M2",Aannames!$B$10+($O190-Aannames!$B$10)*Aannames!$B$12,"M3",Aannames!$B$10+($O190-Aannames!$B$10)*(Aannames!$B$12+Aannames!$B$13),"M4",$O190),0)+($O190-IFERROR(_xlfn.SWITCH($L190,"M1",Aannames!$B$10,"M2",Aannames!$B$10+($O190-Aannames!$B$10)*Aannames!$B$12,"M3",Aannames!$B$10+($O190-Aannames!$B$10)*(Aannames!$B$12+Aannames!$B$13),"M4",$O190),0))*$P190)</f>
        <v/>
      </c>
      <c r="U190" s="15"/>
    </row>
    <row r="191" customFormat="false" ht="15" hidden="false" customHeight="false" outlineLevel="0" collapsed="false">
      <c r="I191" s="15"/>
      <c r="N191" s="16"/>
      <c r="O191" s="17" t="str">
        <f aca="false">IF(OR($N191="",$N191=0),"",MAX(MIN($N191,Aannames!$B$5)*Aannames!$C$5+MAX(0,MIN($N191,Aannames!$B$6)-Aannames!$B$5)*Aannames!$C$6+MAX(0,MIN($N191,Aannames!$B$7)-Aannames!$B$6)*Aannames!$C$7+MAX(0,$N191-Aannames!$B$7)*Aannames!$C$8,Aannames!$B$9)+Aannames!$B$10)</f>
        <v/>
      </c>
      <c r="P191" s="18" t="str">
        <f aca="false">IF($L191="","",IFERROR(_xlfn.SWITCH($L191,"M1",Aannames!$B$16,"M2",Aannames!$B$17,"M3",Aannames!$B$18,"M4",Aannames!$B$19),""))</f>
        <v/>
      </c>
      <c r="Q191" s="17" t="str">
        <f aca="false">IF(OR($O191="",$P191=""),"",IFERROR(_xlfn.SWITCH($L191,"M1",Aannames!$B$10,"M2",Aannames!$B$10+($O191-Aannames!$B$10)*Aannames!$B$12,"M3",Aannames!$B$10+($O191-Aannames!$B$10)*(Aannames!$B$12+Aannames!$B$13),"M4",$O191),0)+($O191-IFERROR(_xlfn.SWITCH($L191,"M1",Aannames!$B$10,"M2",Aannames!$B$10+($O191-Aannames!$B$10)*Aannames!$B$12,"M3",Aannames!$B$10+($O191-Aannames!$B$10)*(Aannames!$B$12+Aannames!$B$13),"M4",$O191),0))*$P191)</f>
        <v/>
      </c>
      <c r="U191" s="15"/>
    </row>
    <row r="192" customFormat="false" ht="15" hidden="false" customHeight="false" outlineLevel="0" collapsed="false">
      <c r="I192" s="15"/>
      <c r="N192" s="16"/>
      <c r="O192" s="17" t="str">
        <f aca="false">IF(OR($N192="",$N192=0),"",MAX(MIN($N192,Aannames!$B$5)*Aannames!$C$5+MAX(0,MIN($N192,Aannames!$B$6)-Aannames!$B$5)*Aannames!$C$6+MAX(0,MIN($N192,Aannames!$B$7)-Aannames!$B$6)*Aannames!$C$7+MAX(0,$N192-Aannames!$B$7)*Aannames!$C$8,Aannames!$B$9)+Aannames!$B$10)</f>
        <v/>
      </c>
      <c r="P192" s="18" t="str">
        <f aca="false">IF($L192="","",IFERROR(_xlfn.SWITCH($L192,"M1",Aannames!$B$16,"M2",Aannames!$B$17,"M3",Aannames!$B$18,"M4",Aannames!$B$19),""))</f>
        <v/>
      </c>
      <c r="Q192" s="17" t="str">
        <f aca="false">IF(OR($O192="",$P192=""),"",IFERROR(_xlfn.SWITCH($L192,"M1",Aannames!$B$10,"M2",Aannames!$B$10+($O192-Aannames!$B$10)*Aannames!$B$12,"M3",Aannames!$B$10+($O192-Aannames!$B$10)*(Aannames!$B$12+Aannames!$B$13),"M4",$O192),0)+($O192-IFERROR(_xlfn.SWITCH($L192,"M1",Aannames!$B$10,"M2",Aannames!$B$10+($O192-Aannames!$B$10)*Aannames!$B$12,"M3",Aannames!$B$10+($O192-Aannames!$B$10)*(Aannames!$B$12+Aannames!$B$13),"M4",$O192),0))*$P192)</f>
        <v/>
      </c>
      <c r="U192" s="15"/>
    </row>
    <row r="193" customFormat="false" ht="15" hidden="false" customHeight="false" outlineLevel="0" collapsed="false">
      <c r="I193" s="15"/>
      <c r="N193" s="16"/>
      <c r="O193" s="17" t="str">
        <f aca="false">IF(OR($N193="",$N193=0),"",MAX(MIN($N193,Aannames!$B$5)*Aannames!$C$5+MAX(0,MIN($N193,Aannames!$B$6)-Aannames!$B$5)*Aannames!$C$6+MAX(0,MIN($N193,Aannames!$B$7)-Aannames!$B$6)*Aannames!$C$7+MAX(0,$N193-Aannames!$B$7)*Aannames!$C$8,Aannames!$B$9)+Aannames!$B$10)</f>
        <v/>
      </c>
      <c r="P193" s="18" t="str">
        <f aca="false">IF($L193="","",IFERROR(_xlfn.SWITCH($L193,"M1",Aannames!$B$16,"M2",Aannames!$B$17,"M3",Aannames!$B$18,"M4",Aannames!$B$19),""))</f>
        <v/>
      </c>
      <c r="Q193" s="17" t="str">
        <f aca="false">IF(OR($O193="",$P193=""),"",IFERROR(_xlfn.SWITCH($L193,"M1",Aannames!$B$10,"M2",Aannames!$B$10+($O193-Aannames!$B$10)*Aannames!$B$12,"M3",Aannames!$B$10+($O193-Aannames!$B$10)*(Aannames!$B$12+Aannames!$B$13),"M4",$O193),0)+($O193-IFERROR(_xlfn.SWITCH($L193,"M1",Aannames!$B$10,"M2",Aannames!$B$10+($O193-Aannames!$B$10)*Aannames!$B$12,"M3",Aannames!$B$10+($O193-Aannames!$B$10)*(Aannames!$B$12+Aannames!$B$13),"M4",$O193),0))*$P193)</f>
        <v/>
      </c>
      <c r="U193" s="15"/>
    </row>
    <row r="194" customFormat="false" ht="15" hidden="false" customHeight="false" outlineLevel="0" collapsed="false">
      <c r="I194" s="15"/>
      <c r="N194" s="16"/>
      <c r="O194" s="17" t="str">
        <f aca="false">IF(OR($N194="",$N194=0),"",MAX(MIN($N194,Aannames!$B$5)*Aannames!$C$5+MAX(0,MIN($N194,Aannames!$B$6)-Aannames!$B$5)*Aannames!$C$6+MAX(0,MIN($N194,Aannames!$B$7)-Aannames!$B$6)*Aannames!$C$7+MAX(0,$N194-Aannames!$B$7)*Aannames!$C$8,Aannames!$B$9)+Aannames!$B$10)</f>
        <v/>
      </c>
      <c r="P194" s="18" t="str">
        <f aca="false">IF($L194="","",IFERROR(_xlfn.SWITCH($L194,"M1",Aannames!$B$16,"M2",Aannames!$B$17,"M3",Aannames!$B$18,"M4",Aannames!$B$19),""))</f>
        <v/>
      </c>
      <c r="Q194" s="17" t="str">
        <f aca="false">IF(OR($O194="",$P194=""),"",IFERROR(_xlfn.SWITCH($L194,"M1",Aannames!$B$10,"M2",Aannames!$B$10+($O194-Aannames!$B$10)*Aannames!$B$12,"M3",Aannames!$B$10+($O194-Aannames!$B$10)*(Aannames!$B$12+Aannames!$B$13),"M4",$O194),0)+($O194-IFERROR(_xlfn.SWITCH($L194,"M1",Aannames!$B$10,"M2",Aannames!$B$10+($O194-Aannames!$B$10)*Aannames!$B$12,"M3",Aannames!$B$10+($O194-Aannames!$B$10)*(Aannames!$B$12+Aannames!$B$13),"M4",$O194),0))*$P194)</f>
        <v/>
      </c>
      <c r="U194" s="15"/>
    </row>
    <row r="195" customFormat="false" ht="15" hidden="false" customHeight="false" outlineLevel="0" collapsed="false">
      <c r="I195" s="15"/>
      <c r="N195" s="16"/>
      <c r="O195" s="17" t="str">
        <f aca="false">IF(OR($N195="",$N195=0),"",MAX(MIN($N195,Aannames!$B$5)*Aannames!$C$5+MAX(0,MIN($N195,Aannames!$B$6)-Aannames!$B$5)*Aannames!$C$6+MAX(0,MIN($N195,Aannames!$B$7)-Aannames!$B$6)*Aannames!$C$7+MAX(0,$N195-Aannames!$B$7)*Aannames!$C$8,Aannames!$B$9)+Aannames!$B$10)</f>
        <v/>
      </c>
      <c r="P195" s="18" t="str">
        <f aca="false">IF($L195="","",IFERROR(_xlfn.SWITCH($L195,"M1",Aannames!$B$16,"M2",Aannames!$B$17,"M3",Aannames!$B$18,"M4",Aannames!$B$19),""))</f>
        <v/>
      </c>
      <c r="Q195" s="17" t="str">
        <f aca="false">IF(OR($O195="",$P195=""),"",IFERROR(_xlfn.SWITCH($L195,"M1",Aannames!$B$10,"M2",Aannames!$B$10+($O195-Aannames!$B$10)*Aannames!$B$12,"M3",Aannames!$B$10+($O195-Aannames!$B$10)*(Aannames!$B$12+Aannames!$B$13),"M4",$O195),0)+($O195-IFERROR(_xlfn.SWITCH($L195,"M1",Aannames!$B$10,"M2",Aannames!$B$10+($O195-Aannames!$B$10)*Aannames!$B$12,"M3",Aannames!$B$10+($O195-Aannames!$B$10)*(Aannames!$B$12+Aannames!$B$13),"M4",$O195),0))*$P195)</f>
        <v/>
      </c>
      <c r="U195" s="15"/>
    </row>
    <row r="196" customFormat="false" ht="15" hidden="false" customHeight="false" outlineLevel="0" collapsed="false">
      <c r="I196" s="15"/>
      <c r="N196" s="16"/>
      <c r="O196" s="17" t="str">
        <f aca="false">IF(OR($N196="",$N196=0),"",MAX(MIN($N196,Aannames!$B$5)*Aannames!$C$5+MAX(0,MIN($N196,Aannames!$B$6)-Aannames!$B$5)*Aannames!$C$6+MAX(0,MIN($N196,Aannames!$B$7)-Aannames!$B$6)*Aannames!$C$7+MAX(0,$N196-Aannames!$B$7)*Aannames!$C$8,Aannames!$B$9)+Aannames!$B$10)</f>
        <v/>
      </c>
      <c r="P196" s="18" t="str">
        <f aca="false">IF($L196="","",IFERROR(_xlfn.SWITCH($L196,"M1",Aannames!$B$16,"M2",Aannames!$B$17,"M3",Aannames!$B$18,"M4",Aannames!$B$19),""))</f>
        <v/>
      </c>
      <c r="Q196" s="17" t="str">
        <f aca="false">IF(OR($O196="",$P196=""),"",IFERROR(_xlfn.SWITCH($L196,"M1",Aannames!$B$10,"M2",Aannames!$B$10+($O196-Aannames!$B$10)*Aannames!$B$12,"M3",Aannames!$B$10+($O196-Aannames!$B$10)*(Aannames!$B$12+Aannames!$B$13),"M4",$O196),0)+($O196-IFERROR(_xlfn.SWITCH($L196,"M1",Aannames!$B$10,"M2",Aannames!$B$10+($O196-Aannames!$B$10)*Aannames!$B$12,"M3",Aannames!$B$10+($O196-Aannames!$B$10)*(Aannames!$B$12+Aannames!$B$13),"M4",$O196),0))*$P196)</f>
        <v/>
      </c>
      <c r="U196" s="15"/>
    </row>
    <row r="197" customFormat="false" ht="15" hidden="false" customHeight="false" outlineLevel="0" collapsed="false">
      <c r="I197" s="15"/>
      <c r="N197" s="16"/>
      <c r="O197" s="17" t="str">
        <f aca="false">IF(OR($N197="",$N197=0),"",MAX(MIN($N197,Aannames!$B$5)*Aannames!$C$5+MAX(0,MIN($N197,Aannames!$B$6)-Aannames!$B$5)*Aannames!$C$6+MAX(0,MIN($N197,Aannames!$B$7)-Aannames!$B$6)*Aannames!$C$7+MAX(0,$N197-Aannames!$B$7)*Aannames!$C$8,Aannames!$B$9)+Aannames!$B$10)</f>
        <v/>
      </c>
      <c r="P197" s="18" t="str">
        <f aca="false">IF($L197="","",IFERROR(_xlfn.SWITCH($L197,"M1",Aannames!$B$16,"M2",Aannames!$B$17,"M3",Aannames!$B$18,"M4",Aannames!$B$19),""))</f>
        <v/>
      </c>
      <c r="Q197" s="17" t="str">
        <f aca="false">IF(OR($O197="",$P197=""),"",IFERROR(_xlfn.SWITCH($L197,"M1",Aannames!$B$10,"M2",Aannames!$B$10+($O197-Aannames!$B$10)*Aannames!$B$12,"M3",Aannames!$B$10+($O197-Aannames!$B$10)*(Aannames!$B$12+Aannames!$B$13),"M4",$O197),0)+($O197-IFERROR(_xlfn.SWITCH($L197,"M1",Aannames!$B$10,"M2",Aannames!$B$10+($O197-Aannames!$B$10)*Aannames!$B$12,"M3",Aannames!$B$10+($O197-Aannames!$B$10)*(Aannames!$B$12+Aannames!$B$13),"M4",$O197),0))*$P197)</f>
        <v/>
      </c>
      <c r="U197" s="15"/>
    </row>
    <row r="198" customFormat="false" ht="15" hidden="false" customHeight="false" outlineLevel="0" collapsed="false">
      <c r="I198" s="15"/>
      <c r="N198" s="16"/>
      <c r="O198" s="17" t="str">
        <f aca="false">IF(OR($N198="",$N198=0),"",MAX(MIN($N198,Aannames!$B$5)*Aannames!$C$5+MAX(0,MIN($N198,Aannames!$B$6)-Aannames!$B$5)*Aannames!$C$6+MAX(0,MIN($N198,Aannames!$B$7)-Aannames!$B$6)*Aannames!$C$7+MAX(0,$N198-Aannames!$B$7)*Aannames!$C$8,Aannames!$B$9)+Aannames!$B$10)</f>
        <v/>
      </c>
      <c r="P198" s="18" t="str">
        <f aca="false">IF($L198="","",IFERROR(_xlfn.SWITCH($L198,"M1",Aannames!$B$16,"M2",Aannames!$B$17,"M3",Aannames!$B$18,"M4",Aannames!$B$19),""))</f>
        <v/>
      </c>
      <c r="Q198" s="17" t="str">
        <f aca="false">IF(OR($O198="",$P198=""),"",IFERROR(_xlfn.SWITCH($L198,"M1",Aannames!$B$10,"M2",Aannames!$B$10+($O198-Aannames!$B$10)*Aannames!$B$12,"M3",Aannames!$B$10+($O198-Aannames!$B$10)*(Aannames!$B$12+Aannames!$B$13),"M4",$O198),0)+($O198-IFERROR(_xlfn.SWITCH($L198,"M1",Aannames!$B$10,"M2",Aannames!$B$10+($O198-Aannames!$B$10)*Aannames!$B$12,"M3",Aannames!$B$10+($O198-Aannames!$B$10)*(Aannames!$B$12+Aannames!$B$13),"M4",$O198),0))*$P198)</f>
        <v/>
      </c>
      <c r="U198" s="15"/>
    </row>
    <row r="199" customFormat="false" ht="15" hidden="false" customHeight="false" outlineLevel="0" collapsed="false">
      <c r="I199" s="15"/>
      <c r="N199" s="16"/>
      <c r="O199" s="17" t="str">
        <f aca="false">IF(OR($N199="",$N199=0),"",MAX(MIN($N199,Aannames!$B$5)*Aannames!$C$5+MAX(0,MIN($N199,Aannames!$B$6)-Aannames!$B$5)*Aannames!$C$6+MAX(0,MIN($N199,Aannames!$B$7)-Aannames!$B$6)*Aannames!$C$7+MAX(0,$N199-Aannames!$B$7)*Aannames!$C$8,Aannames!$B$9)+Aannames!$B$10)</f>
        <v/>
      </c>
      <c r="P199" s="18" t="str">
        <f aca="false">IF($L199="","",IFERROR(_xlfn.SWITCH($L199,"M1",Aannames!$B$16,"M2",Aannames!$B$17,"M3",Aannames!$B$18,"M4",Aannames!$B$19),""))</f>
        <v/>
      </c>
      <c r="Q199" s="17" t="str">
        <f aca="false">IF(OR($O199="",$P199=""),"",IFERROR(_xlfn.SWITCH($L199,"M1",Aannames!$B$10,"M2",Aannames!$B$10+($O199-Aannames!$B$10)*Aannames!$B$12,"M3",Aannames!$B$10+($O199-Aannames!$B$10)*(Aannames!$B$12+Aannames!$B$13),"M4",$O199),0)+($O199-IFERROR(_xlfn.SWITCH($L199,"M1",Aannames!$B$10,"M2",Aannames!$B$10+($O199-Aannames!$B$10)*Aannames!$B$12,"M3",Aannames!$B$10+($O199-Aannames!$B$10)*(Aannames!$B$12+Aannames!$B$13),"M4",$O199),0))*$P199)</f>
        <v/>
      </c>
      <c r="U199" s="15"/>
    </row>
    <row r="200" customFormat="false" ht="15" hidden="false" customHeight="false" outlineLevel="0" collapsed="false">
      <c r="I200" s="15"/>
      <c r="N200" s="16"/>
      <c r="O200" s="17" t="str">
        <f aca="false">IF(OR($N200="",$N200=0),"",MAX(MIN($N200,Aannames!$B$5)*Aannames!$C$5+MAX(0,MIN($N200,Aannames!$B$6)-Aannames!$B$5)*Aannames!$C$6+MAX(0,MIN($N200,Aannames!$B$7)-Aannames!$B$6)*Aannames!$C$7+MAX(0,$N200-Aannames!$B$7)*Aannames!$C$8,Aannames!$B$9)+Aannames!$B$10)</f>
        <v/>
      </c>
      <c r="P200" s="18" t="str">
        <f aca="false">IF($L200="","",IFERROR(_xlfn.SWITCH($L200,"M1",Aannames!$B$16,"M2",Aannames!$B$17,"M3",Aannames!$B$18,"M4",Aannames!$B$19),""))</f>
        <v/>
      </c>
      <c r="Q200" s="17" t="str">
        <f aca="false">IF(OR($O200="",$P200=""),"",IFERROR(_xlfn.SWITCH($L200,"M1",Aannames!$B$10,"M2",Aannames!$B$10+($O200-Aannames!$B$10)*Aannames!$B$12,"M3",Aannames!$B$10+($O200-Aannames!$B$10)*(Aannames!$B$12+Aannames!$B$13),"M4",$O200),0)+($O200-IFERROR(_xlfn.SWITCH($L200,"M1",Aannames!$B$10,"M2",Aannames!$B$10+($O200-Aannames!$B$10)*Aannames!$B$12,"M3",Aannames!$B$10+($O200-Aannames!$B$10)*(Aannames!$B$12+Aannames!$B$13),"M4",$O200),0))*$P200)</f>
        <v/>
      </c>
      <c r="U200" s="15"/>
    </row>
    <row r="201" customFormat="false" ht="15" hidden="false" customHeight="false" outlineLevel="0" collapsed="false">
      <c r="I201" s="15"/>
      <c r="N201" s="16"/>
      <c r="O201" s="17" t="str">
        <f aca="false">IF(OR($N201="",$N201=0),"",MAX(MIN($N201,Aannames!$B$5)*Aannames!$C$5+MAX(0,MIN($N201,Aannames!$B$6)-Aannames!$B$5)*Aannames!$C$6+MAX(0,MIN($N201,Aannames!$B$7)-Aannames!$B$6)*Aannames!$C$7+MAX(0,$N201-Aannames!$B$7)*Aannames!$C$8,Aannames!$B$9)+Aannames!$B$10)</f>
        <v/>
      </c>
      <c r="P201" s="18" t="str">
        <f aca="false">IF($L201="","",IFERROR(_xlfn.SWITCH($L201,"M1",Aannames!$B$16,"M2",Aannames!$B$17,"M3",Aannames!$B$18,"M4",Aannames!$B$19),""))</f>
        <v/>
      </c>
      <c r="Q201" s="17" t="str">
        <f aca="false">IF(OR($O201="",$P201=""),"",IFERROR(_xlfn.SWITCH($L201,"M1",Aannames!$B$10,"M2",Aannames!$B$10+($O201-Aannames!$B$10)*Aannames!$B$12,"M3",Aannames!$B$10+($O201-Aannames!$B$10)*(Aannames!$B$12+Aannames!$B$13),"M4",$O201),0)+($O201-IFERROR(_xlfn.SWITCH($L201,"M1",Aannames!$B$10,"M2",Aannames!$B$10+($O201-Aannames!$B$10)*Aannames!$B$12,"M3",Aannames!$B$10+($O201-Aannames!$B$10)*(Aannames!$B$12+Aannames!$B$13),"M4",$O201),0))*$P201)</f>
        <v/>
      </c>
      <c r="U201" s="15"/>
    </row>
    <row r="202" customFormat="false" ht="15" hidden="false" customHeight="false" outlineLevel="0" collapsed="false">
      <c r="I202" s="15"/>
      <c r="N202" s="16"/>
      <c r="O202" s="17" t="str">
        <f aca="false">IF(OR($N202="",$N202=0),"",MAX(MIN($N202,Aannames!$B$5)*Aannames!$C$5+MAX(0,MIN($N202,Aannames!$B$6)-Aannames!$B$5)*Aannames!$C$6+MAX(0,MIN($N202,Aannames!$B$7)-Aannames!$B$6)*Aannames!$C$7+MAX(0,$N202-Aannames!$B$7)*Aannames!$C$8,Aannames!$B$9)+Aannames!$B$10)</f>
        <v/>
      </c>
      <c r="P202" s="18" t="str">
        <f aca="false">IF($L202="","",IFERROR(_xlfn.SWITCH($L202,"M1",Aannames!$B$16,"M2",Aannames!$B$17,"M3",Aannames!$B$18,"M4",Aannames!$B$19),""))</f>
        <v/>
      </c>
      <c r="Q202" s="17" t="str">
        <f aca="false">IF(OR($O202="",$P202=""),"",IFERROR(_xlfn.SWITCH($L202,"M1",Aannames!$B$10,"M2",Aannames!$B$10+($O202-Aannames!$B$10)*Aannames!$B$12,"M3",Aannames!$B$10+($O202-Aannames!$B$10)*(Aannames!$B$12+Aannames!$B$13),"M4",$O202),0)+($O202-IFERROR(_xlfn.SWITCH($L202,"M1",Aannames!$B$10,"M2",Aannames!$B$10+($O202-Aannames!$B$10)*Aannames!$B$12,"M3",Aannames!$B$10+($O202-Aannames!$B$10)*(Aannames!$B$12+Aannames!$B$13),"M4",$O202),0))*$P202)</f>
        <v/>
      </c>
      <c r="U202" s="15"/>
    </row>
    <row r="203" customFormat="false" ht="15" hidden="false" customHeight="false" outlineLevel="0" collapsed="false">
      <c r="I203" s="15"/>
      <c r="N203" s="16"/>
      <c r="O203" s="17" t="str">
        <f aca="false">IF(OR($N203="",$N203=0),"",MAX(MIN($N203,Aannames!$B$5)*Aannames!$C$5+MAX(0,MIN($N203,Aannames!$B$6)-Aannames!$B$5)*Aannames!$C$6+MAX(0,MIN($N203,Aannames!$B$7)-Aannames!$B$6)*Aannames!$C$7+MAX(0,$N203-Aannames!$B$7)*Aannames!$C$8,Aannames!$B$9)+Aannames!$B$10)</f>
        <v/>
      </c>
      <c r="P203" s="18" t="str">
        <f aca="false">IF($L203="","",IFERROR(_xlfn.SWITCH($L203,"M1",Aannames!$B$16,"M2",Aannames!$B$17,"M3",Aannames!$B$18,"M4",Aannames!$B$19),""))</f>
        <v/>
      </c>
      <c r="Q203" s="17" t="str">
        <f aca="false">IF(OR($O203="",$P203=""),"",IFERROR(_xlfn.SWITCH($L203,"M1",Aannames!$B$10,"M2",Aannames!$B$10+($O203-Aannames!$B$10)*Aannames!$B$12,"M3",Aannames!$B$10+($O203-Aannames!$B$10)*(Aannames!$B$12+Aannames!$B$13),"M4",$O203),0)+($O203-IFERROR(_xlfn.SWITCH($L203,"M1",Aannames!$B$10,"M2",Aannames!$B$10+($O203-Aannames!$B$10)*Aannames!$B$12,"M3",Aannames!$B$10+($O203-Aannames!$B$10)*(Aannames!$B$12+Aannames!$B$13),"M4",$O203),0))*$P203)</f>
        <v/>
      </c>
      <c r="U203" s="15"/>
    </row>
    <row r="204" customFormat="false" ht="15" hidden="false" customHeight="false" outlineLevel="0" collapsed="false">
      <c r="I204" s="15"/>
      <c r="N204" s="16"/>
      <c r="O204" s="17" t="str">
        <f aca="false">IF(OR($N204="",$N204=0),"",MAX(MIN($N204,Aannames!$B$5)*Aannames!$C$5+MAX(0,MIN($N204,Aannames!$B$6)-Aannames!$B$5)*Aannames!$C$6+MAX(0,MIN($N204,Aannames!$B$7)-Aannames!$B$6)*Aannames!$C$7+MAX(0,$N204-Aannames!$B$7)*Aannames!$C$8,Aannames!$B$9)+Aannames!$B$10)</f>
        <v/>
      </c>
      <c r="P204" s="18" t="str">
        <f aca="false">IF($L204="","",IFERROR(_xlfn.SWITCH($L204,"M1",Aannames!$B$16,"M2",Aannames!$B$17,"M3",Aannames!$B$18,"M4",Aannames!$B$19),""))</f>
        <v/>
      </c>
      <c r="Q204" s="17" t="str">
        <f aca="false">IF(OR($O204="",$P204=""),"",IFERROR(_xlfn.SWITCH($L204,"M1",Aannames!$B$10,"M2",Aannames!$B$10+($O204-Aannames!$B$10)*Aannames!$B$12,"M3",Aannames!$B$10+($O204-Aannames!$B$10)*(Aannames!$B$12+Aannames!$B$13),"M4",$O204),0)+($O204-IFERROR(_xlfn.SWITCH($L204,"M1",Aannames!$B$10,"M2",Aannames!$B$10+($O204-Aannames!$B$10)*Aannames!$B$12,"M3",Aannames!$B$10+($O204-Aannames!$B$10)*(Aannames!$B$12+Aannames!$B$13),"M4",$O204),0))*$P204)</f>
        <v/>
      </c>
      <c r="U204" s="15"/>
    </row>
    <row r="205" customFormat="false" ht="15" hidden="false" customHeight="false" outlineLevel="0" collapsed="false">
      <c r="I205" s="15"/>
      <c r="N205" s="16"/>
      <c r="O205" s="17" t="str">
        <f aca="false">IF(OR($N205="",$N205=0),"",MAX(MIN($N205,Aannames!$B$5)*Aannames!$C$5+MAX(0,MIN($N205,Aannames!$B$6)-Aannames!$B$5)*Aannames!$C$6+MAX(0,MIN($N205,Aannames!$B$7)-Aannames!$B$6)*Aannames!$C$7+MAX(0,$N205-Aannames!$B$7)*Aannames!$C$8,Aannames!$B$9)+Aannames!$B$10)</f>
        <v/>
      </c>
      <c r="P205" s="18" t="str">
        <f aca="false">IF($L205="","",IFERROR(_xlfn.SWITCH($L205,"M1",Aannames!$B$16,"M2",Aannames!$B$17,"M3",Aannames!$B$18,"M4",Aannames!$B$19),""))</f>
        <v/>
      </c>
      <c r="Q205" s="17" t="str">
        <f aca="false">IF(OR($O205="",$P205=""),"",IFERROR(_xlfn.SWITCH($L205,"M1",Aannames!$B$10,"M2",Aannames!$B$10+($O205-Aannames!$B$10)*Aannames!$B$12,"M3",Aannames!$B$10+($O205-Aannames!$B$10)*(Aannames!$B$12+Aannames!$B$13),"M4",$O205),0)+($O205-IFERROR(_xlfn.SWITCH($L205,"M1",Aannames!$B$10,"M2",Aannames!$B$10+($O205-Aannames!$B$10)*Aannames!$B$12,"M3",Aannames!$B$10+($O205-Aannames!$B$10)*(Aannames!$B$12+Aannames!$B$13),"M4",$O205),0))*$P205)</f>
        <v/>
      </c>
      <c r="U205" s="15"/>
    </row>
    <row r="206" customFormat="false" ht="15" hidden="false" customHeight="false" outlineLevel="0" collapsed="false">
      <c r="I206" s="15"/>
      <c r="N206" s="16"/>
      <c r="O206" s="17" t="str">
        <f aca="false">IF(OR($N206="",$N206=0),"",MAX(MIN($N206,Aannames!$B$5)*Aannames!$C$5+MAX(0,MIN($N206,Aannames!$B$6)-Aannames!$B$5)*Aannames!$C$6+MAX(0,MIN($N206,Aannames!$B$7)-Aannames!$B$6)*Aannames!$C$7+MAX(0,$N206-Aannames!$B$7)*Aannames!$C$8,Aannames!$B$9)+Aannames!$B$10)</f>
        <v/>
      </c>
      <c r="P206" s="18" t="str">
        <f aca="false">IF($L206="","",IFERROR(_xlfn.SWITCH($L206,"M1",Aannames!$B$16,"M2",Aannames!$B$17,"M3",Aannames!$B$18,"M4",Aannames!$B$19),""))</f>
        <v/>
      </c>
      <c r="Q206" s="17" t="str">
        <f aca="false">IF(OR($O206="",$P206=""),"",IFERROR(_xlfn.SWITCH($L206,"M1",Aannames!$B$10,"M2",Aannames!$B$10+($O206-Aannames!$B$10)*Aannames!$B$12,"M3",Aannames!$B$10+($O206-Aannames!$B$10)*(Aannames!$B$12+Aannames!$B$13),"M4",$O206),0)+($O206-IFERROR(_xlfn.SWITCH($L206,"M1",Aannames!$B$10,"M2",Aannames!$B$10+($O206-Aannames!$B$10)*Aannames!$B$12,"M3",Aannames!$B$10+($O206-Aannames!$B$10)*(Aannames!$B$12+Aannames!$B$13),"M4",$O206),0))*$P206)</f>
        <v/>
      </c>
      <c r="U206" s="15"/>
    </row>
    <row r="207" customFormat="false" ht="15" hidden="false" customHeight="false" outlineLevel="0" collapsed="false">
      <c r="I207" s="15"/>
      <c r="N207" s="16"/>
      <c r="O207" s="17" t="str">
        <f aca="false">IF(OR($N207="",$N207=0),"",MAX(MIN($N207,Aannames!$B$5)*Aannames!$C$5+MAX(0,MIN($N207,Aannames!$B$6)-Aannames!$B$5)*Aannames!$C$6+MAX(0,MIN($N207,Aannames!$B$7)-Aannames!$B$6)*Aannames!$C$7+MAX(0,$N207-Aannames!$B$7)*Aannames!$C$8,Aannames!$B$9)+Aannames!$B$10)</f>
        <v/>
      </c>
      <c r="P207" s="18" t="str">
        <f aca="false">IF($L207="","",IFERROR(_xlfn.SWITCH($L207,"M1",Aannames!$B$16,"M2",Aannames!$B$17,"M3",Aannames!$B$18,"M4",Aannames!$B$19),""))</f>
        <v/>
      </c>
      <c r="Q207" s="17" t="str">
        <f aca="false">IF(OR($O207="",$P207=""),"",IFERROR(_xlfn.SWITCH($L207,"M1",Aannames!$B$10,"M2",Aannames!$B$10+($O207-Aannames!$B$10)*Aannames!$B$12,"M3",Aannames!$B$10+($O207-Aannames!$B$10)*(Aannames!$B$12+Aannames!$B$13),"M4",$O207),0)+($O207-IFERROR(_xlfn.SWITCH($L207,"M1",Aannames!$B$10,"M2",Aannames!$B$10+($O207-Aannames!$B$10)*Aannames!$B$12,"M3",Aannames!$B$10+($O207-Aannames!$B$10)*(Aannames!$B$12+Aannames!$B$13),"M4",$O207),0))*$P207)</f>
        <v/>
      </c>
      <c r="U207" s="15"/>
    </row>
    <row r="208" customFormat="false" ht="15" hidden="false" customHeight="false" outlineLevel="0" collapsed="false">
      <c r="I208" s="15"/>
      <c r="N208" s="16"/>
      <c r="O208" s="17" t="str">
        <f aca="false">IF(OR($N208="",$N208=0),"",MAX(MIN($N208,Aannames!$B$5)*Aannames!$C$5+MAX(0,MIN($N208,Aannames!$B$6)-Aannames!$B$5)*Aannames!$C$6+MAX(0,MIN($N208,Aannames!$B$7)-Aannames!$B$6)*Aannames!$C$7+MAX(0,$N208-Aannames!$B$7)*Aannames!$C$8,Aannames!$B$9)+Aannames!$B$10)</f>
        <v/>
      </c>
      <c r="P208" s="18" t="str">
        <f aca="false">IF($L208="","",IFERROR(_xlfn.SWITCH($L208,"M1",Aannames!$B$16,"M2",Aannames!$B$17,"M3",Aannames!$B$18,"M4",Aannames!$B$19),""))</f>
        <v/>
      </c>
      <c r="Q208" s="17" t="str">
        <f aca="false">IF(OR($O208="",$P208=""),"",IFERROR(_xlfn.SWITCH($L208,"M1",Aannames!$B$10,"M2",Aannames!$B$10+($O208-Aannames!$B$10)*Aannames!$B$12,"M3",Aannames!$B$10+($O208-Aannames!$B$10)*(Aannames!$B$12+Aannames!$B$13),"M4",$O208),0)+($O208-IFERROR(_xlfn.SWITCH($L208,"M1",Aannames!$B$10,"M2",Aannames!$B$10+($O208-Aannames!$B$10)*Aannames!$B$12,"M3",Aannames!$B$10+($O208-Aannames!$B$10)*(Aannames!$B$12+Aannames!$B$13),"M4",$O208),0))*$P208)</f>
        <v/>
      </c>
      <c r="U208" s="15"/>
    </row>
    <row r="209" customFormat="false" ht="15" hidden="false" customHeight="false" outlineLevel="0" collapsed="false">
      <c r="I209" s="15"/>
      <c r="N209" s="16"/>
      <c r="O209" s="17" t="str">
        <f aca="false">IF(OR($N209="",$N209=0),"",MAX(MIN($N209,Aannames!$B$5)*Aannames!$C$5+MAX(0,MIN($N209,Aannames!$B$6)-Aannames!$B$5)*Aannames!$C$6+MAX(0,MIN($N209,Aannames!$B$7)-Aannames!$B$6)*Aannames!$C$7+MAX(0,$N209-Aannames!$B$7)*Aannames!$C$8,Aannames!$B$9)+Aannames!$B$10)</f>
        <v/>
      </c>
      <c r="P209" s="18" t="str">
        <f aca="false">IF($L209="","",IFERROR(_xlfn.SWITCH($L209,"M1",Aannames!$B$16,"M2",Aannames!$B$17,"M3",Aannames!$B$18,"M4",Aannames!$B$19),""))</f>
        <v/>
      </c>
      <c r="Q209" s="17" t="str">
        <f aca="false">IF(OR($O209="",$P209=""),"",IFERROR(_xlfn.SWITCH($L209,"M1",Aannames!$B$10,"M2",Aannames!$B$10+($O209-Aannames!$B$10)*Aannames!$B$12,"M3",Aannames!$B$10+($O209-Aannames!$B$10)*(Aannames!$B$12+Aannames!$B$13),"M4",$O209),0)+($O209-IFERROR(_xlfn.SWITCH($L209,"M1",Aannames!$B$10,"M2",Aannames!$B$10+($O209-Aannames!$B$10)*Aannames!$B$12,"M3",Aannames!$B$10+($O209-Aannames!$B$10)*(Aannames!$B$12+Aannames!$B$13),"M4",$O209),0))*$P209)</f>
        <v/>
      </c>
      <c r="U209" s="15"/>
    </row>
    <row r="210" customFormat="false" ht="15" hidden="false" customHeight="false" outlineLevel="0" collapsed="false">
      <c r="I210" s="15"/>
      <c r="N210" s="16"/>
      <c r="O210" s="17" t="str">
        <f aca="false">IF(OR($N210="",$N210=0),"",MAX(MIN($N210,Aannames!$B$5)*Aannames!$C$5+MAX(0,MIN($N210,Aannames!$B$6)-Aannames!$B$5)*Aannames!$C$6+MAX(0,MIN($N210,Aannames!$B$7)-Aannames!$B$6)*Aannames!$C$7+MAX(0,$N210-Aannames!$B$7)*Aannames!$C$8,Aannames!$B$9)+Aannames!$B$10)</f>
        <v/>
      </c>
      <c r="P210" s="18" t="str">
        <f aca="false">IF($L210="","",IFERROR(_xlfn.SWITCH($L210,"M1",Aannames!$B$16,"M2",Aannames!$B$17,"M3",Aannames!$B$18,"M4",Aannames!$B$19),""))</f>
        <v/>
      </c>
      <c r="Q210" s="17" t="str">
        <f aca="false">IF(OR($O210="",$P210=""),"",IFERROR(_xlfn.SWITCH($L210,"M1",Aannames!$B$10,"M2",Aannames!$B$10+($O210-Aannames!$B$10)*Aannames!$B$12,"M3",Aannames!$B$10+($O210-Aannames!$B$10)*(Aannames!$B$12+Aannames!$B$13),"M4",$O210),0)+($O210-IFERROR(_xlfn.SWITCH($L210,"M1",Aannames!$B$10,"M2",Aannames!$B$10+($O210-Aannames!$B$10)*Aannames!$B$12,"M3",Aannames!$B$10+($O210-Aannames!$B$10)*(Aannames!$B$12+Aannames!$B$13),"M4",$O210),0))*$P210)</f>
        <v/>
      </c>
      <c r="U210" s="15"/>
    </row>
    <row r="211" customFormat="false" ht="15" hidden="false" customHeight="false" outlineLevel="0" collapsed="false">
      <c r="I211" s="15"/>
      <c r="N211" s="16"/>
      <c r="O211" s="17" t="str">
        <f aca="false">IF(OR($N211="",$N211=0),"",MAX(MIN($N211,Aannames!$B$5)*Aannames!$C$5+MAX(0,MIN($N211,Aannames!$B$6)-Aannames!$B$5)*Aannames!$C$6+MAX(0,MIN($N211,Aannames!$B$7)-Aannames!$B$6)*Aannames!$C$7+MAX(0,$N211-Aannames!$B$7)*Aannames!$C$8,Aannames!$B$9)+Aannames!$B$10)</f>
        <v/>
      </c>
      <c r="P211" s="18" t="str">
        <f aca="false">IF($L211="","",IFERROR(_xlfn.SWITCH($L211,"M1",Aannames!$B$16,"M2",Aannames!$B$17,"M3",Aannames!$B$18,"M4",Aannames!$B$19),""))</f>
        <v/>
      </c>
      <c r="Q211" s="17" t="str">
        <f aca="false">IF(OR($O211="",$P211=""),"",IFERROR(_xlfn.SWITCH($L211,"M1",Aannames!$B$10,"M2",Aannames!$B$10+($O211-Aannames!$B$10)*Aannames!$B$12,"M3",Aannames!$B$10+($O211-Aannames!$B$10)*(Aannames!$B$12+Aannames!$B$13),"M4",$O211),0)+($O211-IFERROR(_xlfn.SWITCH($L211,"M1",Aannames!$B$10,"M2",Aannames!$B$10+($O211-Aannames!$B$10)*Aannames!$B$12,"M3",Aannames!$B$10+($O211-Aannames!$B$10)*(Aannames!$B$12+Aannames!$B$13),"M4",$O211),0))*$P211)</f>
        <v/>
      </c>
      <c r="U211" s="15"/>
    </row>
    <row r="212" customFormat="false" ht="15" hidden="false" customHeight="false" outlineLevel="0" collapsed="false">
      <c r="I212" s="15"/>
      <c r="N212" s="16"/>
      <c r="O212" s="17" t="str">
        <f aca="false">IF(OR($N212="",$N212=0),"",MAX(MIN($N212,Aannames!$B$5)*Aannames!$C$5+MAX(0,MIN($N212,Aannames!$B$6)-Aannames!$B$5)*Aannames!$C$6+MAX(0,MIN($N212,Aannames!$B$7)-Aannames!$B$6)*Aannames!$C$7+MAX(0,$N212-Aannames!$B$7)*Aannames!$C$8,Aannames!$B$9)+Aannames!$B$10)</f>
        <v/>
      </c>
      <c r="P212" s="18" t="str">
        <f aca="false">IF($L212="","",IFERROR(_xlfn.SWITCH($L212,"M1",Aannames!$B$16,"M2",Aannames!$B$17,"M3",Aannames!$B$18,"M4",Aannames!$B$19),""))</f>
        <v/>
      </c>
      <c r="Q212" s="17" t="str">
        <f aca="false">IF(OR($O212="",$P212=""),"",IFERROR(_xlfn.SWITCH($L212,"M1",Aannames!$B$10,"M2",Aannames!$B$10+($O212-Aannames!$B$10)*Aannames!$B$12,"M3",Aannames!$B$10+($O212-Aannames!$B$10)*(Aannames!$B$12+Aannames!$B$13),"M4",$O212),0)+($O212-IFERROR(_xlfn.SWITCH($L212,"M1",Aannames!$B$10,"M2",Aannames!$B$10+($O212-Aannames!$B$10)*Aannames!$B$12,"M3",Aannames!$B$10+($O212-Aannames!$B$10)*(Aannames!$B$12+Aannames!$B$13),"M4",$O212),0))*$P212)</f>
        <v/>
      </c>
      <c r="U212" s="15"/>
    </row>
    <row r="213" customFormat="false" ht="15" hidden="false" customHeight="false" outlineLevel="0" collapsed="false">
      <c r="I213" s="15"/>
      <c r="N213" s="16"/>
      <c r="O213" s="17" t="str">
        <f aca="false">IF(OR($N213="",$N213=0),"",MAX(MIN($N213,Aannames!$B$5)*Aannames!$C$5+MAX(0,MIN($N213,Aannames!$B$6)-Aannames!$B$5)*Aannames!$C$6+MAX(0,MIN($N213,Aannames!$B$7)-Aannames!$B$6)*Aannames!$C$7+MAX(0,$N213-Aannames!$B$7)*Aannames!$C$8,Aannames!$B$9)+Aannames!$B$10)</f>
        <v/>
      </c>
      <c r="P213" s="18" t="str">
        <f aca="false">IF($L213="","",IFERROR(_xlfn.SWITCH($L213,"M1",Aannames!$B$16,"M2",Aannames!$B$17,"M3",Aannames!$B$18,"M4",Aannames!$B$19),""))</f>
        <v/>
      </c>
      <c r="Q213" s="17" t="str">
        <f aca="false">IF(OR($O213="",$P213=""),"",IFERROR(_xlfn.SWITCH($L213,"M1",Aannames!$B$10,"M2",Aannames!$B$10+($O213-Aannames!$B$10)*Aannames!$B$12,"M3",Aannames!$B$10+($O213-Aannames!$B$10)*(Aannames!$B$12+Aannames!$B$13),"M4",$O213),0)+($O213-IFERROR(_xlfn.SWITCH($L213,"M1",Aannames!$B$10,"M2",Aannames!$B$10+($O213-Aannames!$B$10)*Aannames!$B$12,"M3",Aannames!$B$10+($O213-Aannames!$B$10)*(Aannames!$B$12+Aannames!$B$13),"M4",$O213),0))*$P213)</f>
        <v/>
      </c>
      <c r="U213" s="15"/>
    </row>
    <row r="214" customFormat="false" ht="15" hidden="false" customHeight="false" outlineLevel="0" collapsed="false">
      <c r="I214" s="15"/>
      <c r="N214" s="16"/>
      <c r="O214" s="17" t="str">
        <f aca="false">IF(OR($N214="",$N214=0),"",MAX(MIN($N214,Aannames!$B$5)*Aannames!$C$5+MAX(0,MIN($N214,Aannames!$B$6)-Aannames!$B$5)*Aannames!$C$6+MAX(0,MIN($N214,Aannames!$B$7)-Aannames!$B$6)*Aannames!$C$7+MAX(0,$N214-Aannames!$B$7)*Aannames!$C$8,Aannames!$B$9)+Aannames!$B$10)</f>
        <v/>
      </c>
      <c r="P214" s="18" t="str">
        <f aca="false">IF($L214="","",IFERROR(_xlfn.SWITCH($L214,"M1",Aannames!$B$16,"M2",Aannames!$B$17,"M3",Aannames!$B$18,"M4",Aannames!$B$19),""))</f>
        <v/>
      </c>
      <c r="Q214" s="17" t="str">
        <f aca="false">IF(OR($O214="",$P214=""),"",IFERROR(_xlfn.SWITCH($L214,"M1",Aannames!$B$10,"M2",Aannames!$B$10+($O214-Aannames!$B$10)*Aannames!$B$12,"M3",Aannames!$B$10+($O214-Aannames!$B$10)*(Aannames!$B$12+Aannames!$B$13),"M4",$O214),0)+($O214-IFERROR(_xlfn.SWITCH($L214,"M1",Aannames!$B$10,"M2",Aannames!$B$10+($O214-Aannames!$B$10)*Aannames!$B$12,"M3",Aannames!$B$10+($O214-Aannames!$B$10)*(Aannames!$B$12+Aannames!$B$13),"M4",$O214),0))*$P214)</f>
        <v/>
      </c>
      <c r="U214" s="15"/>
    </row>
    <row r="215" customFormat="false" ht="15" hidden="false" customHeight="false" outlineLevel="0" collapsed="false">
      <c r="I215" s="15"/>
      <c r="N215" s="16"/>
      <c r="O215" s="17" t="str">
        <f aca="false">IF(OR($N215="",$N215=0),"",MAX(MIN($N215,Aannames!$B$5)*Aannames!$C$5+MAX(0,MIN($N215,Aannames!$B$6)-Aannames!$B$5)*Aannames!$C$6+MAX(0,MIN($N215,Aannames!$B$7)-Aannames!$B$6)*Aannames!$C$7+MAX(0,$N215-Aannames!$B$7)*Aannames!$C$8,Aannames!$B$9)+Aannames!$B$10)</f>
        <v/>
      </c>
      <c r="P215" s="18" t="str">
        <f aca="false">IF($L215="","",IFERROR(_xlfn.SWITCH($L215,"M1",Aannames!$B$16,"M2",Aannames!$B$17,"M3",Aannames!$B$18,"M4",Aannames!$B$19),""))</f>
        <v/>
      </c>
      <c r="Q215" s="17" t="str">
        <f aca="false">IF(OR($O215="",$P215=""),"",IFERROR(_xlfn.SWITCH($L215,"M1",Aannames!$B$10,"M2",Aannames!$B$10+($O215-Aannames!$B$10)*Aannames!$B$12,"M3",Aannames!$B$10+($O215-Aannames!$B$10)*(Aannames!$B$12+Aannames!$B$13),"M4",$O215),0)+($O215-IFERROR(_xlfn.SWITCH($L215,"M1",Aannames!$B$10,"M2",Aannames!$B$10+($O215-Aannames!$B$10)*Aannames!$B$12,"M3",Aannames!$B$10+($O215-Aannames!$B$10)*(Aannames!$B$12+Aannames!$B$13),"M4",$O215),0))*$P215)</f>
        <v/>
      </c>
      <c r="U215" s="15"/>
    </row>
    <row r="216" customFormat="false" ht="15" hidden="false" customHeight="false" outlineLevel="0" collapsed="false">
      <c r="I216" s="15"/>
      <c r="N216" s="16"/>
      <c r="O216" s="17" t="str">
        <f aca="false">IF(OR($N216="",$N216=0),"",MAX(MIN($N216,Aannames!$B$5)*Aannames!$C$5+MAX(0,MIN($N216,Aannames!$B$6)-Aannames!$B$5)*Aannames!$C$6+MAX(0,MIN($N216,Aannames!$B$7)-Aannames!$B$6)*Aannames!$C$7+MAX(0,$N216-Aannames!$B$7)*Aannames!$C$8,Aannames!$B$9)+Aannames!$B$10)</f>
        <v/>
      </c>
      <c r="P216" s="18" t="str">
        <f aca="false">IF($L216="","",IFERROR(_xlfn.SWITCH($L216,"M1",Aannames!$B$16,"M2",Aannames!$B$17,"M3",Aannames!$B$18,"M4",Aannames!$B$19),""))</f>
        <v/>
      </c>
      <c r="Q216" s="17" t="str">
        <f aca="false">IF(OR($O216="",$P216=""),"",IFERROR(_xlfn.SWITCH($L216,"M1",Aannames!$B$10,"M2",Aannames!$B$10+($O216-Aannames!$B$10)*Aannames!$B$12,"M3",Aannames!$B$10+($O216-Aannames!$B$10)*(Aannames!$B$12+Aannames!$B$13),"M4",$O216),0)+($O216-IFERROR(_xlfn.SWITCH($L216,"M1",Aannames!$B$10,"M2",Aannames!$B$10+($O216-Aannames!$B$10)*Aannames!$B$12,"M3",Aannames!$B$10+($O216-Aannames!$B$10)*(Aannames!$B$12+Aannames!$B$13),"M4",$O216),0))*$P216)</f>
        <v/>
      </c>
      <c r="U216" s="15"/>
    </row>
    <row r="217" customFormat="false" ht="15" hidden="false" customHeight="false" outlineLevel="0" collapsed="false">
      <c r="I217" s="15"/>
      <c r="N217" s="16"/>
      <c r="O217" s="17" t="str">
        <f aca="false">IF(OR($N217="",$N217=0),"",MAX(MIN($N217,Aannames!$B$5)*Aannames!$C$5+MAX(0,MIN($N217,Aannames!$B$6)-Aannames!$B$5)*Aannames!$C$6+MAX(0,MIN($N217,Aannames!$B$7)-Aannames!$B$6)*Aannames!$C$7+MAX(0,$N217-Aannames!$B$7)*Aannames!$C$8,Aannames!$B$9)+Aannames!$B$10)</f>
        <v/>
      </c>
      <c r="P217" s="18" t="str">
        <f aca="false">IF($L217="","",IFERROR(_xlfn.SWITCH($L217,"M1",Aannames!$B$16,"M2",Aannames!$B$17,"M3",Aannames!$B$18,"M4",Aannames!$B$19),""))</f>
        <v/>
      </c>
      <c r="Q217" s="17" t="str">
        <f aca="false">IF(OR($O217="",$P217=""),"",IFERROR(_xlfn.SWITCH($L217,"M1",Aannames!$B$10,"M2",Aannames!$B$10+($O217-Aannames!$B$10)*Aannames!$B$12,"M3",Aannames!$B$10+($O217-Aannames!$B$10)*(Aannames!$B$12+Aannames!$B$13),"M4",$O217),0)+($O217-IFERROR(_xlfn.SWITCH($L217,"M1",Aannames!$B$10,"M2",Aannames!$B$10+($O217-Aannames!$B$10)*Aannames!$B$12,"M3",Aannames!$B$10+($O217-Aannames!$B$10)*(Aannames!$B$12+Aannames!$B$13),"M4",$O217),0))*$P217)</f>
        <v/>
      </c>
      <c r="U217" s="15"/>
    </row>
    <row r="218" customFormat="false" ht="15" hidden="false" customHeight="false" outlineLevel="0" collapsed="false">
      <c r="I218" s="15"/>
      <c r="N218" s="16"/>
      <c r="O218" s="17" t="str">
        <f aca="false">IF(OR($N218="",$N218=0),"",MAX(MIN($N218,Aannames!$B$5)*Aannames!$C$5+MAX(0,MIN($N218,Aannames!$B$6)-Aannames!$B$5)*Aannames!$C$6+MAX(0,MIN($N218,Aannames!$B$7)-Aannames!$B$6)*Aannames!$C$7+MAX(0,$N218-Aannames!$B$7)*Aannames!$C$8,Aannames!$B$9)+Aannames!$B$10)</f>
        <v/>
      </c>
      <c r="P218" s="18" t="str">
        <f aca="false">IF($L218="","",IFERROR(_xlfn.SWITCH($L218,"M1",Aannames!$B$16,"M2",Aannames!$B$17,"M3",Aannames!$B$18,"M4",Aannames!$B$19),""))</f>
        <v/>
      </c>
      <c r="Q218" s="17" t="str">
        <f aca="false">IF(OR($O218="",$P218=""),"",IFERROR(_xlfn.SWITCH($L218,"M1",Aannames!$B$10,"M2",Aannames!$B$10+($O218-Aannames!$B$10)*Aannames!$B$12,"M3",Aannames!$B$10+($O218-Aannames!$B$10)*(Aannames!$B$12+Aannames!$B$13),"M4",$O218),0)+($O218-IFERROR(_xlfn.SWITCH($L218,"M1",Aannames!$B$10,"M2",Aannames!$B$10+($O218-Aannames!$B$10)*Aannames!$B$12,"M3",Aannames!$B$10+($O218-Aannames!$B$10)*(Aannames!$B$12+Aannames!$B$13),"M4",$O218),0))*$P218)</f>
        <v/>
      </c>
      <c r="U218" s="15"/>
    </row>
    <row r="219" customFormat="false" ht="15" hidden="false" customHeight="false" outlineLevel="0" collapsed="false">
      <c r="I219" s="15"/>
      <c r="N219" s="16"/>
      <c r="O219" s="17" t="str">
        <f aca="false">IF(OR($N219="",$N219=0),"",MAX(MIN($N219,Aannames!$B$5)*Aannames!$C$5+MAX(0,MIN($N219,Aannames!$B$6)-Aannames!$B$5)*Aannames!$C$6+MAX(0,MIN($N219,Aannames!$B$7)-Aannames!$B$6)*Aannames!$C$7+MAX(0,$N219-Aannames!$B$7)*Aannames!$C$8,Aannames!$B$9)+Aannames!$B$10)</f>
        <v/>
      </c>
      <c r="P219" s="18" t="str">
        <f aca="false">IF($L219="","",IFERROR(_xlfn.SWITCH($L219,"M1",Aannames!$B$16,"M2",Aannames!$B$17,"M3",Aannames!$B$18,"M4",Aannames!$B$19),""))</f>
        <v/>
      </c>
      <c r="Q219" s="17" t="str">
        <f aca="false">IF(OR($O219="",$P219=""),"",IFERROR(_xlfn.SWITCH($L219,"M1",Aannames!$B$10,"M2",Aannames!$B$10+($O219-Aannames!$B$10)*Aannames!$B$12,"M3",Aannames!$B$10+($O219-Aannames!$B$10)*(Aannames!$B$12+Aannames!$B$13),"M4",$O219),0)+($O219-IFERROR(_xlfn.SWITCH($L219,"M1",Aannames!$B$10,"M2",Aannames!$B$10+($O219-Aannames!$B$10)*Aannames!$B$12,"M3",Aannames!$B$10+($O219-Aannames!$B$10)*(Aannames!$B$12+Aannames!$B$13),"M4",$O219),0))*$P219)</f>
        <v/>
      </c>
      <c r="U219" s="15"/>
    </row>
    <row r="220" customFormat="false" ht="15" hidden="false" customHeight="false" outlineLevel="0" collapsed="false">
      <c r="I220" s="15"/>
      <c r="N220" s="16"/>
      <c r="O220" s="17" t="str">
        <f aca="false">IF(OR($N220="",$N220=0),"",MAX(MIN($N220,Aannames!$B$5)*Aannames!$C$5+MAX(0,MIN($N220,Aannames!$B$6)-Aannames!$B$5)*Aannames!$C$6+MAX(0,MIN($N220,Aannames!$B$7)-Aannames!$B$6)*Aannames!$C$7+MAX(0,$N220-Aannames!$B$7)*Aannames!$C$8,Aannames!$B$9)+Aannames!$B$10)</f>
        <v/>
      </c>
      <c r="P220" s="18" t="str">
        <f aca="false">IF($L220="","",IFERROR(_xlfn.SWITCH($L220,"M1",Aannames!$B$16,"M2",Aannames!$B$17,"M3",Aannames!$B$18,"M4",Aannames!$B$19),""))</f>
        <v/>
      </c>
      <c r="Q220" s="17" t="str">
        <f aca="false">IF(OR($O220="",$P220=""),"",IFERROR(_xlfn.SWITCH($L220,"M1",Aannames!$B$10,"M2",Aannames!$B$10+($O220-Aannames!$B$10)*Aannames!$B$12,"M3",Aannames!$B$10+($O220-Aannames!$B$10)*(Aannames!$B$12+Aannames!$B$13),"M4",$O220),0)+($O220-IFERROR(_xlfn.SWITCH($L220,"M1",Aannames!$B$10,"M2",Aannames!$B$10+($O220-Aannames!$B$10)*Aannames!$B$12,"M3",Aannames!$B$10+($O220-Aannames!$B$10)*(Aannames!$B$12+Aannames!$B$13),"M4",$O220),0))*$P220)</f>
        <v/>
      </c>
      <c r="U220" s="15"/>
    </row>
    <row r="221" customFormat="false" ht="15" hidden="false" customHeight="false" outlineLevel="0" collapsed="false">
      <c r="I221" s="15"/>
      <c r="N221" s="16"/>
      <c r="O221" s="17" t="str">
        <f aca="false">IF(OR($N221="",$N221=0),"",MAX(MIN($N221,Aannames!$B$5)*Aannames!$C$5+MAX(0,MIN($N221,Aannames!$B$6)-Aannames!$B$5)*Aannames!$C$6+MAX(0,MIN($N221,Aannames!$B$7)-Aannames!$B$6)*Aannames!$C$7+MAX(0,$N221-Aannames!$B$7)*Aannames!$C$8,Aannames!$B$9)+Aannames!$B$10)</f>
        <v/>
      </c>
      <c r="P221" s="18" t="str">
        <f aca="false">IF($L221="","",IFERROR(_xlfn.SWITCH($L221,"M1",Aannames!$B$16,"M2",Aannames!$B$17,"M3",Aannames!$B$18,"M4",Aannames!$B$19),""))</f>
        <v/>
      </c>
      <c r="Q221" s="17" t="str">
        <f aca="false">IF(OR($O221="",$P221=""),"",IFERROR(_xlfn.SWITCH($L221,"M1",Aannames!$B$10,"M2",Aannames!$B$10+($O221-Aannames!$B$10)*Aannames!$B$12,"M3",Aannames!$B$10+($O221-Aannames!$B$10)*(Aannames!$B$12+Aannames!$B$13),"M4",$O221),0)+($O221-IFERROR(_xlfn.SWITCH($L221,"M1",Aannames!$B$10,"M2",Aannames!$B$10+($O221-Aannames!$B$10)*Aannames!$B$12,"M3",Aannames!$B$10+($O221-Aannames!$B$10)*(Aannames!$B$12+Aannames!$B$13),"M4",$O221),0))*$P221)</f>
        <v/>
      </c>
      <c r="U221" s="15"/>
    </row>
    <row r="222" customFormat="false" ht="15" hidden="false" customHeight="false" outlineLevel="0" collapsed="false">
      <c r="I222" s="15"/>
      <c r="N222" s="16"/>
      <c r="O222" s="17" t="str">
        <f aca="false">IF(OR($N222="",$N222=0),"",MAX(MIN($N222,Aannames!$B$5)*Aannames!$C$5+MAX(0,MIN($N222,Aannames!$B$6)-Aannames!$B$5)*Aannames!$C$6+MAX(0,MIN($N222,Aannames!$B$7)-Aannames!$B$6)*Aannames!$C$7+MAX(0,$N222-Aannames!$B$7)*Aannames!$C$8,Aannames!$B$9)+Aannames!$B$10)</f>
        <v/>
      </c>
      <c r="P222" s="18" t="str">
        <f aca="false">IF($L222="","",IFERROR(_xlfn.SWITCH($L222,"M1",Aannames!$B$16,"M2",Aannames!$B$17,"M3",Aannames!$B$18,"M4",Aannames!$B$19),""))</f>
        <v/>
      </c>
      <c r="Q222" s="17" t="str">
        <f aca="false">IF(OR($O222="",$P222=""),"",IFERROR(_xlfn.SWITCH($L222,"M1",Aannames!$B$10,"M2",Aannames!$B$10+($O222-Aannames!$B$10)*Aannames!$B$12,"M3",Aannames!$B$10+($O222-Aannames!$B$10)*(Aannames!$B$12+Aannames!$B$13),"M4",$O222),0)+($O222-IFERROR(_xlfn.SWITCH($L222,"M1",Aannames!$B$10,"M2",Aannames!$B$10+($O222-Aannames!$B$10)*Aannames!$B$12,"M3",Aannames!$B$10+($O222-Aannames!$B$10)*(Aannames!$B$12+Aannames!$B$13),"M4",$O222),0))*$P222)</f>
        <v/>
      </c>
      <c r="U222" s="15"/>
    </row>
    <row r="223" customFormat="false" ht="15" hidden="false" customHeight="false" outlineLevel="0" collapsed="false">
      <c r="I223" s="15"/>
      <c r="N223" s="16"/>
      <c r="O223" s="17" t="str">
        <f aca="false">IF(OR($N223="",$N223=0),"",MAX(MIN($N223,Aannames!$B$5)*Aannames!$C$5+MAX(0,MIN($N223,Aannames!$B$6)-Aannames!$B$5)*Aannames!$C$6+MAX(0,MIN($N223,Aannames!$B$7)-Aannames!$B$6)*Aannames!$C$7+MAX(0,$N223-Aannames!$B$7)*Aannames!$C$8,Aannames!$B$9)+Aannames!$B$10)</f>
        <v/>
      </c>
      <c r="P223" s="18" t="str">
        <f aca="false">IF($L223="","",IFERROR(_xlfn.SWITCH($L223,"M1",Aannames!$B$16,"M2",Aannames!$B$17,"M3",Aannames!$B$18,"M4",Aannames!$B$19),""))</f>
        <v/>
      </c>
      <c r="Q223" s="17" t="str">
        <f aca="false">IF(OR($O223="",$P223=""),"",IFERROR(_xlfn.SWITCH($L223,"M1",Aannames!$B$10,"M2",Aannames!$B$10+($O223-Aannames!$B$10)*Aannames!$B$12,"M3",Aannames!$B$10+($O223-Aannames!$B$10)*(Aannames!$B$12+Aannames!$B$13),"M4",$O223),0)+($O223-IFERROR(_xlfn.SWITCH($L223,"M1",Aannames!$B$10,"M2",Aannames!$B$10+($O223-Aannames!$B$10)*Aannames!$B$12,"M3",Aannames!$B$10+($O223-Aannames!$B$10)*(Aannames!$B$12+Aannames!$B$13),"M4",$O223),0))*$P223)</f>
        <v/>
      </c>
      <c r="U223" s="15"/>
    </row>
    <row r="224" customFormat="false" ht="15" hidden="false" customHeight="false" outlineLevel="0" collapsed="false">
      <c r="I224" s="15"/>
      <c r="N224" s="16"/>
      <c r="O224" s="17" t="str">
        <f aca="false">IF(OR($N224="",$N224=0),"",MAX(MIN($N224,Aannames!$B$5)*Aannames!$C$5+MAX(0,MIN($N224,Aannames!$B$6)-Aannames!$B$5)*Aannames!$C$6+MAX(0,MIN($N224,Aannames!$B$7)-Aannames!$B$6)*Aannames!$C$7+MAX(0,$N224-Aannames!$B$7)*Aannames!$C$8,Aannames!$B$9)+Aannames!$B$10)</f>
        <v/>
      </c>
      <c r="P224" s="18" t="str">
        <f aca="false">IF($L224="","",IFERROR(_xlfn.SWITCH($L224,"M1",Aannames!$B$16,"M2",Aannames!$B$17,"M3",Aannames!$B$18,"M4",Aannames!$B$19),""))</f>
        <v/>
      </c>
      <c r="Q224" s="17" t="str">
        <f aca="false">IF(OR($O224="",$P224=""),"",IFERROR(_xlfn.SWITCH($L224,"M1",Aannames!$B$10,"M2",Aannames!$B$10+($O224-Aannames!$B$10)*Aannames!$B$12,"M3",Aannames!$B$10+($O224-Aannames!$B$10)*(Aannames!$B$12+Aannames!$B$13),"M4",$O224),0)+($O224-IFERROR(_xlfn.SWITCH($L224,"M1",Aannames!$B$10,"M2",Aannames!$B$10+($O224-Aannames!$B$10)*Aannames!$B$12,"M3",Aannames!$B$10+($O224-Aannames!$B$10)*(Aannames!$B$12+Aannames!$B$13),"M4",$O224),0))*$P224)</f>
        <v/>
      </c>
      <c r="U224" s="15"/>
    </row>
    <row r="225" customFormat="false" ht="15" hidden="false" customHeight="false" outlineLevel="0" collapsed="false">
      <c r="I225" s="15"/>
      <c r="N225" s="16"/>
      <c r="O225" s="17" t="str">
        <f aca="false">IF(OR($N225="",$N225=0),"",MAX(MIN($N225,Aannames!$B$5)*Aannames!$C$5+MAX(0,MIN($N225,Aannames!$B$6)-Aannames!$B$5)*Aannames!$C$6+MAX(0,MIN($N225,Aannames!$B$7)-Aannames!$B$6)*Aannames!$C$7+MAX(0,$N225-Aannames!$B$7)*Aannames!$C$8,Aannames!$B$9)+Aannames!$B$10)</f>
        <v/>
      </c>
      <c r="P225" s="18" t="str">
        <f aca="false">IF($L225="","",IFERROR(_xlfn.SWITCH($L225,"M1",Aannames!$B$16,"M2",Aannames!$B$17,"M3",Aannames!$B$18,"M4",Aannames!$B$19),""))</f>
        <v/>
      </c>
      <c r="Q225" s="17" t="str">
        <f aca="false">IF(OR($O225="",$P225=""),"",IFERROR(_xlfn.SWITCH($L225,"M1",Aannames!$B$10,"M2",Aannames!$B$10+($O225-Aannames!$B$10)*Aannames!$B$12,"M3",Aannames!$B$10+($O225-Aannames!$B$10)*(Aannames!$B$12+Aannames!$B$13),"M4",$O225),0)+($O225-IFERROR(_xlfn.SWITCH($L225,"M1",Aannames!$B$10,"M2",Aannames!$B$10+($O225-Aannames!$B$10)*Aannames!$B$12,"M3",Aannames!$B$10+($O225-Aannames!$B$10)*(Aannames!$B$12+Aannames!$B$13),"M4",$O225),0))*$P225)</f>
        <v/>
      </c>
      <c r="U225" s="15"/>
    </row>
    <row r="226" customFormat="false" ht="15" hidden="false" customHeight="false" outlineLevel="0" collapsed="false">
      <c r="I226" s="15"/>
      <c r="N226" s="16"/>
      <c r="O226" s="17" t="str">
        <f aca="false">IF(OR($N226="",$N226=0),"",MAX(MIN($N226,Aannames!$B$5)*Aannames!$C$5+MAX(0,MIN($N226,Aannames!$B$6)-Aannames!$B$5)*Aannames!$C$6+MAX(0,MIN($N226,Aannames!$B$7)-Aannames!$B$6)*Aannames!$C$7+MAX(0,$N226-Aannames!$B$7)*Aannames!$C$8,Aannames!$B$9)+Aannames!$B$10)</f>
        <v/>
      </c>
      <c r="P226" s="18" t="str">
        <f aca="false">IF($L226="","",IFERROR(_xlfn.SWITCH($L226,"M1",Aannames!$B$16,"M2",Aannames!$B$17,"M3",Aannames!$B$18,"M4",Aannames!$B$19),""))</f>
        <v/>
      </c>
      <c r="Q226" s="17" t="str">
        <f aca="false">IF(OR($O226="",$P226=""),"",IFERROR(_xlfn.SWITCH($L226,"M1",Aannames!$B$10,"M2",Aannames!$B$10+($O226-Aannames!$B$10)*Aannames!$B$12,"M3",Aannames!$B$10+($O226-Aannames!$B$10)*(Aannames!$B$12+Aannames!$B$13),"M4",$O226),0)+($O226-IFERROR(_xlfn.SWITCH($L226,"M1",Aannames!$B$10,"M2",Aannames!$B$10+($O226-Aannames!$B$10)*Aannames!$B$12,"M3",Aannames!$B$10+($O226-Aannames!$B$10)*(Aannames!$B$12+Aannames!$B$13),"M4",$O226),0))*$P226)</f>
        <v/>
      </c>
      <c r="U226" s="15"/>
    </row>
    <row r="227" customFormat="false" ht="15" hidden="false" customHeight="false" outlineLevel="0" collapsed="false">
      <c r="I227" s="15"/>
      <c r="N227" s="16"/>
      <c r="O227" s="17" t="str">
        <f aca="false">IF(OR($N227="",$N227=0),"",MAX(MIN($N227,Aannames!$B$5)*Aannames!$C$5+MAX(0,MIN($N227,Aannames!$B$6)-Aannames!$B$5)*Aannames!$C$6+MAX(0,MIN($N227,Aannames!$B$7)-Aannames!$B$6)*Aannames!$C$7+MAX(0,$N227-Aannames!$B$7)*Aannames!$C$8,Aannames!$B$9)+Aannames!$B$10)</f>
        <v/>
      </c>
      <c r="P227" s="18" t="str">
        <f aca="false">IF($L227="","",IFERROR(_xlfn.SWITCH($L227,"M1",Aannames!$B$16,"M2",Aannames!$B$17,"M3",Aannames!$B$18,"M4",Aannames!$B$19),""))</f>
        <v/>
      </c>
      <c r="Q227" s="17" t="str">
        <f aca="false">IF(OR($O227="",$P227=""),"",IFERROR(_xlfn.SWITCH($L227,"M1",Aannames!$B$10,"M2",Aannames!$B$10+($O227-Aannames!$B$10)*Aannames!$B$12,"M3",Aannames!$B$10+($O227-Aannames!$B$10)*(Aannames!$B$12+Aannames!$B$13),"M4",$O227),0)+($O227-IFERROR(_xlfn.SWITCH($L227,"M1",Aannames!$B$10,"M2",Aannames!$B$10+($O227-Aannames!$B$10)*Aannames!$B$12,"M3",Aannames!$B$10+($O227-Aannames!$B$10)*(Aannames!$B$12+Aannames!$B$13),"M4",$O227),0))*$P227)</f>
        <v/>
      </c>
      <c r="U227" s="15"/>
    </row>
    <row r="228" customFormat="false" ht="15" hidden="false" customHeight="false" outlineLevel="0" collapsed="false">
      <c r="I228" s="15"/>
      <c r="N228" s="16"/>
      <c r="O228" s="17" t="str">
        <f aca="false">IF(OR($N228="",$N228=0),"",MAX(MIN($N228,Aannames!$B$5)*Aannames!$C$5+MAX(0,MIN($N228,Aannames!$B$6)-Aannames!$B$5)*Aannames!$C$6+MAX(0,MIN($N228,Aannames!$B$7)-Aannames!$B$6)*Aannames!$C$7+MAX(0,$N228-Aannames!$B$7)*Aannames!$C$8,Aannames!$B$9)+Aannames!$B$10)</f>
        <v/>
      </c>
      <c r="P228" s="18" t="str">
        <f aca="false">IF($L228="","",IFERROR(_xlfn.SWITCH($L228,"M1",Aannames!$B$16,"M2",Aannames!$B$17,"M3",Aannames!$B$18,"M4",Aannames!$B$19),""))</f>
        <v/>
      </c>
      <c r="Q228" s="17" t="str">
        <f aca="false">IF(OR($O228="",$P228=""),"",IFERROR(_xlfn.SWITCH($L228,"M1",Aannames!$B$10,"M2",Aannames!$B$10+($O228-Aannames!$B$10)*Aannames!$B$12,"M3",Aannames!$B$10+($O228-Aannames!$B$10)*(Aannames!$B$12+Aannames!$B$13),"M4",$O228),0)+($O228-IFERROR(_xlfn.SWITCH($L228,"M1",Aannames!$B$10,"M2",Aannames!$B$10+($O228-Aannames!$B$10)*Aannames!$B$12,"M3",Aannames!$B$10+($O228-Aannames!$B$10)*(Aannames!$B$12+Aannames!$B$13),"M4",$O228),0))*$P228)</f>
        <v/>
      </c>
      <c r="U228" s="15"/>
    </row>
    <row r="229" customFormat="false" ht="15" hidden="false" customHeight="false" outlineLevel="0" collapsed="false">
      <c r="I229" s="15"/>
      <c r="N229" s="16"/>
      <c r="O229" s="17" t="str">
        <f aca="false">IF(OR($N229="",$N229=0),"",MAX(MIN($N229,Aannames!$B$5)*Aannames!$C$5+MAX(0,MIN($N229,Aannames!$B$6)-Aannames!$B$5)*Aannames!$C$6+MAX(0,MIN($N229,Aannames!$B$7)-Aannames!$B$6)*Aannames!$C$7+MAX(0,$N229-Aannames!$B$7)*Aannames!$C$8,Aannames!$B$9)+Aannames!$B$10)</f>
        <v/>
      </c>
      <c r="P229" s="18" t="str">
        <f aca="false">IF($L229="","",IFERROR(_xlfn.SWITCH($L229,"M1",Aannames!$B$16,"M2",Aannames!$B$17,"M3",Aannames!$B$18,"M4",Aannames!$B$19),""))</f>
        <v/>
      </c>
      <c r="Q229" s="17" t="str">
        <f aca="false">IF(OR($O229="",$P229=""),"",IFERROR(_xlfn.SWITCH($L229,"M1",Aannames!$B$10,"M2",Aannames!$B$10+($O229-Aannames!$B$10)*Aannames!$B$12,"M3",Aannames!$B$10+($O229-Aannames!$B$10)*(Aannames!$B$12+Aannames!$B$13),"M4",$O229),0)+($O229-IFERROR(_xlfn.SWITCH($L229,"M1",Aannames!$B$10,"M2",Aannames!$B$10+($O229-Aannames!$B$10)*Aannames!$B$12,"M3",Aannames!$B$10+($O229-Aannames!$B$10)*(Aannames!$B$12+Aannames!$B$13),"M4",$O229),0))*$P229)</f>
        <v/>
      </c>
      <c r="U229" s="15"/>
    </row>
    <row r="230" customFormat="false" ht="15" hidden="false" customHeight="false" outlineLevel="0" collapsed="false">
      <c r="I230" s="15"/>
      <c r="N230" s="16"/>
      <c r="O230" s="17" t="str">
        <f aca="false">IF(OR($N230="",$N230=0),"",MAX(MIN($N230,Aannames!$B$5)*Aannames!$C$5+MAX(0,MIN($N230,Aannames!$B$6)-Aannames!$B$5)*Aannames!$C$6+MAX(0,MIN($N230,Aannames!$B$7)-Aannames!$B$6)*Aannames!$C$7+MAX(0,$N230-Aannames!$B$7)*Aannames!$C$8,Aannames!$B$9)+Aannames!$B$10)</f>
        <v/>
      </c>
      <c r="P230" s="18" t="str">
        <f aca="false">IF($L230="","",IFERROR(_xlfn.SWITCH($L230,"M1",Aannames!$B$16,"M2",Aannames!$B$17,"M3",Aannames!$B$18,"M4",Aannames!$B$19),""))</f>
        <v/>
      </c>
      <c r="Q230" s="17" t="str">
        <f aca="false">IF(OR($O230="",$P230=""),"",IFERROR(_xlfn.SWITCH($L230,"M1",Aannames!$B$10,"M2",Aannames!$B$10+($O230-Aannames!$B$10)*Aannames!$B$12,"M3",Aannames!$B$10+($O230-Aannames!$B$10)*(Aannames!$B$12+Aannames!$B$13),"M4",$O230),0)+($O230-IFERROR(_xlfn.SWITCH($L230,"M1",Aannames!$B$10,"M2",Aannames!$B$10+($O230-Aannames!$B$10)*Aannames!$B$12,"M3",Aannames!$B$10+($O230-Aannames!$B$10)*(Aannames!$B$12+Aannames!$B$13),"M4",$O230),0))*$P230)</f>
        <v/>
      </c>
      <c r="U230" s="15"/>
    </row>
    <row r="231" customFormat="false" ht="15" hidden="false" customHeight="false" outlineLevel="0" collapsed="false">
      <c r="I231" s="15"/>
      <c r="N231" s="16"/>
      <c r="O231" s="17" t="str">
        <f aca="false">IF(OR($N231="",$N231=0),"",MAX(MIN($N231,Aannames!$B$5)*Aannames!$C$5+MAX(0,MIN($N231,Aannames!$B$6)-Aannames!$B$5)*Aannames!$C$6+MAX(0,MIN($N231,Aannames!$B$7)-Aannames!$B$6)*Aannames!$C$7+MAX(0,$N231-Aannames!$B$7)*Aannames!$C$8,Aannames!$B$9)+Aannames!$B$10)</f>
        <v/>
      </c>
      <c r="P231" s="18" t="str">
        <f aca="false">IF($L231="","",IFERROR(_xlfn.SWITCH($L231,"M1",Aannames!$B$16,"M2",Aannames!$B$17,"M3",Aannames!$B$18,"M4",Aannames!$B$19),""))</f>
        <v/>
      </c>
      <c r="Q231" s="17" t="str">
        <f aca="false">IF(OR($O231="",$P231=""),"",IFERROR(_xlfn.SWITCH($L231,"M1",Aannames!$B$10,"M2",Aannames!$B$10+($O231-Aannames!$B$10)*Aannames!$B$12,"M3",Aannames!$B$10+($O231-Aannames!$B$10)*(Aannames!$B$12+Aannames!$B$13),"M4",$O231),0)+($O231-IFERROR(_xlfn.SWITCH($L231,"M1",Aannames!$B$10,"M2",Aannames!$B$10+($O231-Aannames!$B$10)*Aannames!$B$12,"M3",Aannames!$B$10+($O231-Aannames!$B$10)*(Aannames!$B$12+Aannames!$B$13),"M4",$O231),0))*$P231)</f>
        <v/>
      </c>
      <c r="U231" s="15"/>
    </row>
    <row r="232" customFormat="false" ht="15" hidden="false" customHeight="false" outlineLevel="0" collapsed="false">
      <c r="I232" s="15"/>
      <c r="N232" s="16"/>
      <c r="O232" s="17" t="str">
        <f aca="false">IF(OR($N232="",$N232=0),"",MAX(MIN($N232,Aannames!$B$5)*Aannames!$C$5+MAX(0,MIN($N232,Aannames!$B$6)-Aannames!$B$5)*Aannames!$C$6+MAX(0,MIN($N232,Aannames!$B$7)-Aannames!$B$6)*Aannames!$C$7+MAX(0,$N232-Aannames!$B$7)*Aannames!$C$8,Aannames!$B$9)+Aannames!$B$10)</f>
        <v/>
      </c>
      <c r="P232" s="18" t="str">
        <f aca="false">IF($L232="","",IFERROR(_xlfn.SWITCH($L232,"M1",Aannames!$B$16,"M2",Aannames!$B$17,"M3",Aannames!$B$18,"M4",Aannames!$B$19),""))</f>
        <v/>
      </c>
      <c r="Q232" s="17" t="str">
        <f aca="false">IF(OR($O232="",$P232=""),"",IFERROR(_xlfn.SWITCH($L232,"M1",Aannames!$B$10,"M2",Aannames!$B$10+($O232-Aannames!$B$10)*Aannames!$B$12,"M3",Aannames!$B$10+($O232-Aannames!$B$10)*(Aannames!$B$12+Aannames!$B$13),"M4",$O232),0)+($O232-IFERROR(_xlfn.SWITCH($L232,"M1",Aannames!$B$10,"M2",Aannames!$B$10+($O232-Aannames!$B$10)*Aannames!$B$12,"M3",Aannames!$B$10+($O232-Aannames!$B$10)*(Aannames!$B$12+Aannames!$B$13),"M4",$O232),0))*$P232)</f>
        <v/>
      </c>
      <c r="U232" s="15"/>
    </row>
    <row r="233" customFormat="false" ht="15" hidden="false" customHeight="false" outlineLevel="0" collapsed="false">
      <c r="I233" s="15"/>
      <c r="N233" s="16"/>
      <c r="O233" s="17" t="str">
        <f aca="false">IF(OR($N233="",$N233=0),"",MAX(MIN($N233,Aannames!$B$5)*Aannames!$C$5+MAX(0,MIN($N233,Aannames!$B$6)-Aannames!$B$5)*Aannames!$C$6+MAX(0,MIN($N233,Aannames!$B$7)-Aannames!$B$6)*Aannames!$C$7+MAX(0,$N233-Aannames!$B$7)*Aannames!$C$8,Aannames!$B$9)+Aannames!$B$10)</f>
        <v/>
      </c>
      <c r="P233" s="18" t="str">
        <f aca="false">IF($L233="","",IFERROR(_xlfn.SWITCH($L233,"M1",Aannames!$B$16,"M2",Aannames!$B$17,"M3",Aannames!$B$18,"M4",Aannames!$B$19),""))</f>
        <v/>
      </c>
      <c r="Q233" s="17" t="str">
        <f aca="false">IF(OR($O233="",$P233=""),"",IFERROR(_xlfn.SWITCH($L233,"M1",Aannames!$B$10,"M2",Aannames!$B$10+($O233-Aannames!$B$10)*Aannames!$B$12,"M3",Aannames!$B$10+($O233-Aannames!$B$10)*(Aannames!$B$12+Aannames!$B$13),"M4",$O233),0)+($O233-IFERROR(_xlfn.SWITCH($L233,"M1",Aannames!$B$10,"M2",Aannames!$B$10+($O233-Aannames!$B$10)*Aannames!$B$12,"M3",Aannames!$B$10+($O233-Aannames!$B$10)*(Aannames!$B$12+Aannames!$B$13),"M4",$O233),0))*$P233)</f>
        <v/>
      </c>
      <c r="U233" s="15"/>
    </row>
    <row r="234" customFormat="false" ht="15" hidden="false" customHeight="false" outlineLevel="0" collapsed="false">
      <c r="I234" s="15"/>
      <c r="N234" s="16"/>
      <c r="O234" s="17" t="str">
        <f aca="false">IF(OR($N234="",$N234=0),"",MAX(MIN($N234,Aannames!$B$5)*Aannames!$C$5+MAX(0,MIN($N234,Aannames!$B$6)-Aannames!$B$5)*Aannames!$C$6+MAX(0,MIN($N234,Aannames!$B$7)-Aannames!$B$6)*Aannames!$C$7+MAX(0,$N234-Aannames!$B$7)*Aannames!$C$8,Aannames!$B$9)+Aannames!$B$10)</f>
        <v/>
      </c>
      <c r="P234" s="18" t="str">
        <f aca="false">IF($L234="","",IFERROR(_xlfn.SWITCH($L234,"M1",Aannames!$B$16,"M2",Aannames!$B$17,"M3",Aannames!$B$18,"M4",Aannames!$B$19),""))</f>
        <v/>
      </c>
      <c r="Q234" s="17" t="str">
        <f aca="false">IF(OR($O234="",$P234=""),"",IFERROR(_xlfn.SWITCH($L234,"M1",Aannames!$B$10,"M2",Aannames!$B$10+($O234-Aannames!$B$10)*Aannames!$B$12,"M3",Aannames!$B$10+($O234-Aannames!$B$10)*(Aannames!$B$12+Aannames!$B$13),"M4",$O234),0)+($O234-IFERROR(_xlfn.SWITCH($L234,"M1",Aannames!$B$10,"M2",Aannames!$B$10+($O234-Aannames!$B$10)*Aannames!$B$12,"M3",Aannames!$B$10+($O234-Aannames!$B$10)*(Aannames!$B$12+Aannames!$B$13),"M4",$O234),0))*$P234)</f>
        <v/>
      </c>
      <c r="U234" s="15"/>
    </row>
    <row r="235" customFormat="false" ht="15" hidden="false" customHeight="false" outlineLevel="0" collapsed="false">
      <c r="I235" s="15"/>
      <c r="N235" s="16"/>
      <c r="O235" s="17" t="str">
        <f aca="false">IF(OR($N235="",$N235=0),"",MAX(MIN($N235,Aannames!$B$5)*Aannames!$C$5+MAX(0,MIN($N235,Aannames!$B$6)-Aannames!$B$5)*Aannames!$C$6+MAX(0,MIN($N235,Aannames!$B$7)-Aannames!$B$6)*Aannames!$C$7+MAX(0,$N235-Aannames!$B$7)*Aannames!$C$8,Aannames!$B$9)+Aannames!$B$10)</f>
        <v/>
      </c>
      <c r="P235" s="18" t="str">
        <f aca="false">IF($L235="","",IFERROR(_xlfn.SWITCH($L235,"M1",Aannames!$B$16,"M2",Aannames!$B$17,"M3",Aannames!$B$18,"M4",Aannames!$B$19),""))</f>
        <v/>
      </c>
      <c r="Q235" s="17" t="str">
        <f aca="false">IF(OR($O235="",$P235=""),"",IFERROR(_xlfn.SWITCH($L235,"M1",Aannames!$B$10,"M2",Aannames!$B$10+($O235-Aannames!$B$10)*Aannames!$B$12,"M3",Aannames!$B$10+($O235-Aannames!$B$10)*(Aannames!$B$12+Aannames!$B$13),"M4",$O235),0)+($O235-IFERROR(_xlfn.SWITCH($L235,"M1",Aannames!$B$10,"M2",Aannames!$B$10+($O235-Aannames!$B$10)*Aannames!$B$12,"M3",Aannames!$B$10+($O235-Aannames!$B$10)*(Aannames!$B$12+Aannames!$B$13),"M4",$O235),0))*$P235)</f>
        <v/>
      </c>
      <c r="U235" s="15"/>
    </row>
    <row r="236" customFormat="false" ht="15" hidden="false" customHeight="false" outlineLevel="0" collapsed="false">
      <c r="I236" s="15"/>
      <c r="N236" s="16"/>
      <c r="O236" s="17" t="str">
        <f aca="false">IF(OR($N236="",$N236=0),"",MAX(MIN($N236,Aannames!$B$5)*Aannames!$C$5+MAX(0,MIN($N236,Aannames!$B$6)-Aannames!$B$5)*Aannames!$C$6+MAX(0,MIN($N236,Aannames!$B$7)-Aannames!$B$6)*Aannames!$C$7+MAX(0,$N236-Aannames!$B$7)*Aannames!$C$8,Aannames!$B$9)+Aannames!$B$10)</f>
        <v/>
      </c>
      <c r="P236" s="18" t="str">
        <f aca="false">IF($L236="","",IFERROR(_xlfn.SWITCH($L236,"M1",Aannames!$B$16,"M2",Aannames!$B$17,"M3",Aannames!$B$18,"M4",Aannames!$B$19),""))</f>
        <v/>
      </c>
      <c r="Q236" s="17" t="str">
        <f aca="false">IF(OR($O236="",$P236=""),"",IFERROR(_xlfn.SWITCH($L236,"M1",Aannames!$B$10,"M2",Aannames!$B$10+($O236-Aannames!$B$10)*Aannames!$B$12,"M3",Aannames!$B$10+($O236-Aannames!$B$10)*(Aannames!$B$12+Aannames!$B$13),"M4",$O236),0)+($O236-IFERROR(_xlfn.SWITCH($L236,"M1",Aannames!$B$10,"M2",Aannames!$B$10+($O236-Aannames!$B$10)*Aannames!$B$12,"M3",Aannames!$B$10+($O236-Aannames!$B$10)*(Aannames!$B$12+Aannames!$B$13),"M4",$O236),0))*$P236)</f>
        <v/>
      </c>
      <c r="U236" s="15"/>
    </row>
    <row r="237" customFormat="false" ht="15" hidden="false" customHeight="false" outlineLevel="0" collapsed="false">
      <c r="I237" s="15"/>
      <c r="N237" s="16"/>
      <c r="O237" s="17" t="str">
        <f aca="false">IF(OR($N237="",$N237=0),"",MAX(MIN($N237,Aannames!$B$5)*Aannames!$C$5+MAX(0,MIN($N237,Aannames!$B$6)-Aannames!$B$5)*Aannames!$C$6+MAX(0,MIN($N237,Aannames!$B$7)-Aannames!$B$6)*Aannames!$C$7+MAX(0,$N237-Aannames!$B$7)*Aannames!$C$8,Aannames!$B$9)+Aannames!$B$10)</f>
        <v/>
      </c>
      <c r="P237" s="18" t="str">
        <f aca="false">IF($L237="","",IFERROR(_xlfn.SWITCH($L237,"M1",Aannames!$B$16,"M2",Aannames!$B$17,"M3",Aannames!$B$18,"M4",Aannames!$B$19),""))</f>
        <v/>
      </c>
      <c r="Q237" s="17" t="str">
        <f aca="false">IF(OR($O237="",$P237=""),"",IFERROR(_xlfn.SWITCH($L237,"M1",Aannames!$B$10,"M2",Aannames!$B$10+($O237-Aannames!$B$10)*Aannames!$B$12,"M3",Aannames!$B$10+($O237-Aannames!$B$10)*(Aannames!$B$12+Aannames!$B$13),"M4",$O237),0)+($O237-IFERROR(_xlfn.SWITCH($L237,"M1",Aannames!$B$10,"M2",Aannames!$B$10+($O237-Aannames!$B$10)*Aannames!$B$12,"M3",Aannames!$B$10+($O237-Aannames!$B$10)*(Aannames!$B$12+Aannames!$B$13),"M4",$O237),0))*$P237)</f>
        <v/>
      </c>
      <c r="U237" s="15"/>
    </row>
    <row r="238" customFormat="false" ht="15" hidden="false" customHeight="false" outlineLevel="0" collapsed="false">
      <c r="I238" s="15"/>
      <c r="N238" s="16"/>
      <c r="O238" s="17" t="str">
        <f aca="false">IF(OR($N238="",$N238=0),"",MAX(MIN($N238,Aannames!$B$5)*Aannames!$C$5+MAX(0,MIN($N238,Aannames!$B$6)-Aannames!$B$5)*Aannames!$C$6+MAX(0,MIN($N238,Aannames!$B$7)-Aannames!$B$6)*Aannames!$C$7+MAX(0,$N238-Aannames!$B$7)*Aannames!$C$8,Aannames!$B$9)+Aannames!$B$10)</f>
        <v/>
      </c>
      <c r="P238" s="18" t="str">
        <f aca="false">IF($L238="","",IFERROR(_xlfn.SWITCH($L238,"M1",Aannames!$B$16,"M2",Aannames!$B$17,"M3",Aannames!$B$18,"M4",Aannames!$B$19),""))</f>
        <v/>
      </c>
      <c r="Q238" s="17" t="str">
        <f aca="false">IF(OR($O238="",$P238=""),"",IFERROR(_xlfn.SWITCH($L238,"M1",Aannames!$B$10,"M2",Aannames!$B$10+($O238-Aannames!$B$10)*Aannames!$B$12,"M3",Aannames!$B$10+($O238-Aannames!$B$10)*(Aannames!$B$12+Aannames!$B$13),"M4",$O238),0)+($O238-IFERROR(_xlfn.SWITCH($L238,"M1",Aannames!$B$10,"M2",Aannames!$B$10+($O238-Aannames!$B$10)*Aannames!$B$12,"M3",Aannames!$B$10+($O238-Aannames!$B$10)*(Aannames!$B$12+Aannames!$B$13),"M4",$O238),0))*$P238)</f>
        <v/>
      </c>
      <c r="U238" s="15"/>
    </row>
    <row r="239" customFormat="false" ht="15" hidden="false" customHeight="false" outlineLevel="0" collapsed="false">
      <c r="I239" s="15"/>
      <c r="N239" s="16"/>
      <c r="O239" s="17" t="str">
        <f aca="false">IF(OR($N239="",$N239=0),"",MAX(MIN($N239,Aannames!$B$5)*Aannames!$C$5+MAX(0,MIN($N239,Aannames!$B$6)-Aannames!$B$5)*Aannames!$C$6+MAX(0,MIN($N239,Aannames!$B$7)-Aannames!$B$6)*Aannames!$C$7+MAX(0,$N239-Aannames!$B$7)*Aannames!$C$8,Aannames!$B$9)+Aannames!$B$10)</f>
        <v/>
      </c>
      <c r="P239" s="18" t="str">
        <f aca="false">IF($L239="","",IFERROR(_xlfn.SWITCH($L239,"M1",Aannames!$B$16,"M2",Aannames!$B$17,"M3",Aannames!$B$18,"M4",Aannames!$B$19),""))</f>
        <v/>
      </c>
      <c r="Q239" s="17" t="str">
        <f aca="false">IF(OR($O239="",$P239=""),"",IFERROR(_xlfn.SWITCH($L239,"M1",Aannames!$B$10,"M2",Aannames!$B$10+($O239-Aannames!$B$10)*Aannames!$B$12,"M3",Aannames!$B$10+($O239-Aannames!$B$10)*(Aannames!$B$12+Aannames!$B$13),"M4",$O239),0)+($O239-IFERROR(_xlfn.SWITCH($L239,"M1",Aannames!$B$10,"M2",Aannames!$B$10+($O239-Aannames!$B$10)*Aannames!$B$12,"M3",Aannames!$B$10+($O239-Aannames!$B$10)*(Aannames!$B$12+Aannames!$B$13),"M4",$O239),0))*$P239)</f>
        <v/>
      </c>
      <c r="U239" s="15"/>
    </row>
    <row r="240" customFormat="false" ht="15" hidden="false" customHeight="false" outlineLevel="0" collapsed="false">
      <c r="I240" s="15"/>
      <c r="N240" s="16"/>
      <c r="O240" s="17" t="str">
        <f aca="false">IF(OR($N240="",$N240=0),"",MAX(MIN($N240,Aannames!$B$5)*Aannames!$C$5+MAX(0,MIN($N240,Aannames!$B$6)-Aannames!$B$5)*Aannames!$C$6+MAX(0,MIN($N240,Aannames!$B$7)-Aannames!$B$6)*Aannames!$C$7+MAX(0,$N240-Aannames!$B$7)*Aannames!$C$8,Aannames!$B$9)+Aannames!$B$10)</f>
        <v/>
      </c>
      <c r="P240" s="18" t="str">
        <f aca="false">IF($L240="","",IFERROR(_xlfn.SWITCH($L240,"M1",Aannames!$B$16,"M2",Aannames!$B$17,"M3",Aannames!$B$18,"M4",Aannames!$B$19),""))</f>
        <v/>
      </c>
      <c r="Q240" s="17" t="str">
        <f aca="false">IF(OR($O240="",$P240=""),"",IFERROR(_xlfn.SWITCH($L240,"M1",Aannames!$B$10,"M2",Aannames!$B$10+($O240-Aannames!$B$10)*Aannames!$B$12,"M3",Aannames!$B$10+($O240-Aannames!$B$10)*(Aannames!$B$12+Aannames!$B$13),"M4",$O240),0)+($O240-IFERROR(_xlfn.SWITCH($L240,"M1",Aannames!$B$10,"M2",Aannames!$B$10+($O240-Aannames!$B$10)*Aannames!$B$12,"M3",Aannames!$B$10+($O240-Aannames!$B$10)*(Aannames!$B$12+Aannames!$B$13),"M4",$O240),0))*$P240)</f>
        <v/>
      </c>
      <c r="U240" s="15"/>
    </row>
    <row r="241" customFormat="false" ht="15" hidden="false" customHeight="false" outlineLevel="0" collapsed="false">
      <c r="I241" s="15"/>
      <c r="N241" s="16"/>
      <c r="O241" s="17" t="str">
        <f aca="false">IF(OR($N241="",$N241=0),"",MAX(MIN($N241,Aannames!$B$5)*Aannames!$C$5+MAX(0,MIN($N241,Aannames!$B$6)-Aannames!$B$5)*Aannames!$C$6+MAX(0,MIN($N241,Aannames!$B$7)-Aannames!$B$6)*Aannames!$C$7+MAX(0,$N241-Aannames!$B$7)*Aannames!$C$8,Aannames!$B$9)+Aannames!$B$10)</f>
        <v/>
      </c>
      <c r="P241" s="18" t="str">
        <f aca="false">IF($L241="","",IFERROR(_xlfn.SWITCH($L241,"M1",Aannames!$B$16,"M2",Aannames!$B$17,"M3",Aannames!$B$18,"M4",Aannames!$B$19),""))</f>
        <v/>
      </c>
      <c r="Q241" s="17" t="str">
        <f aca="false">IF(OR($O241="",$P241=""),"",IFERROR(_xlfn.SWITCH($L241,"M1",Aannames!$B$10,"M2",Aannames!$B$10+($O241-Aannames!$B$10)*Aannames!$B$12,"M3",Aannames!$B$10+($O241-Aannames!$B$10)*(Aannames!$B$12+Aannames!$B$13),"M4",$O241),0)+($O241-IFERROR(_xlfn.SWITCH($L241,"M1",Aannames!$B$10,"M2",Aannames!$B$10+($O241-Aannames!$B$10)*Aannames!$B$12,"M3",Aannames!$B$10+($O241-Aannames!$B$10)*(Aannames!$B$12+Aannames!$B$13),"M4",$O241),0))*$P241)</f>
        <v/>
      </c>
      <c r="U241" s="15"/>
    </row>
    <row r="242" customFormat="false" ht="15" hidden="false" customHeight="false" outlineLevel="0" collapsed="false">
      <c r="I242" s="15"/>
      <c r="N242" s="16"/>
      <c r="O242" s="17" t="str">
        <f aca="false">IF(OR($N242="",$N242=0),"",MAX(MIN($N242,Aannames!$B$5)*Aannames!$C$5+MAX(0,MIN($N242,Aannames!$B$6)-Aannames!$B$5)*Aannames!$C$6+MAX(0,MIN($N242,Aannames!$B$7)-Aannames!$B$6)*Aannames!$C$7+MAX(0,$N242-Aannames!$B$7)*Aannames!$C$8,Aannames!$B$9)+Aannames!$B$10)</f>
        <v/>
      </c>
      <c r="P242" s="18" t="str">
        <f aca="false">IF($L242="","",IFERROR(_xlfn.SWITCH($L242,"M1",Aannames!$B$16,"M2",Aannames!$B$17,"M3",Aannames!$B$18,"M4",Aannames!$B$19),""))</f>
        <v/>
      </c>
      <c r="Q242" s="17" t="str">
        <f aca="false">IF(OR($O242="",$P242=""),"",IFERROR(_xlfn.SWITCH($L242,"M1",Aannames!$B$10,"M2",Aannames!$B$10+($O242-Aannames!$B$10)*Aannames!$B$12,"M3",Aannames!$B$10+($O242-Aannames!$B$10)*(Aannames!$B$12+Aannames!$B$13),"M4",$O242),0)+($O242-IFERROR(_xlfn.SWITCH($L242,"M1",Aannames!$B$10,"M2",Aannames!$B$10+($O242-Aannames!$B$10)*Aannames!$B$12,"M3",Aannames!$B$10+($O242-Aannames!$B$10)*(Aannames!$B$12+Aannames!$B$13),"M4",$O242),0))*$P242)</f>
        <v/>
      </c>
      <c r="U242" s="15"/>
    </row>
    <row r="243" customFormat="false" ht="15" hidden="false" customHeight="false" outlineLevel="0" collapsed="false">
      <c r="I243" s="15"/>
      <c r="N243" s="16"/>
      <c r="O243" s="17" t="str">
        <f aca="false">IF(OR($N243="",$N243=0),"",MAX(MIN($N243,Aannames!$B$5)*Aannames!$C$5+MAX(0,MIN($N243,Aannames!$B$6)-Aannames!$B$5)*Aannames!$C$6+MAX(0,MIN($N243,Aannames!$B$7)-Aannames!$B$6)*Aannames!$C$7+MAX(0,$N243-Aannames!$B$7)*Aannames!$C$8,Aannames!$B$9)+Aannames!$B$10)</f>
        <v/>
      </c>
      <c r="P243" s="18" t="str">
        <f aca="false">IF($L243="","",IFERROR(_xlfn.SWITCH($L243,"M1",Aannames!$B$16,"M2",Aannames!$B$17,"M3",Aannames!$B$18,"M4",Aannames!$B$19),""))</f>
        <v/>
      </c>
      <c r="Q243" s="17" t="str">
        <f aca="false">IF(OR($O243="",$P243=""),"",IFERROR(_xlfn.SWITCH($L243,"M1",Aannames!$B$10,"M2",Aannames!$B$10+($O243-Aannames!$B$10)*Aannames!$B$12,"M3",Aannames!$B$10+($O243-Aannames!$B$10)*(Aannames!$B$12+Aannames!$B$13),"M4",$O243),0)+($O243-IFERROR(_xlfn.SWITCH($L243,"M1",Aannames!$B$10,"M2",Aannames!$B$10+($O243-Aannames!$B$10)*Aannames!$B$12,"M3",Aannames!$B$10+($O243-Aannames!$B$10)*(Aannames!$B$12+Aannames!$B$13),"M4",$O243),0))*$P243)</f>
        <v/>
      </c>
      <c r="U243" s="15"/>
    </row>
    <row r="244" customFormat="false" ht="15" hidden="false" customHeight="false" outlineLevel="0" collapsed="false">
      <c r="I244" s="15"/>
      <c r="N244" s="16"/>
      <c r="O244" s="17" t="str">
        <f aca="false">IF(OR($N244="",$N244=0),"",MAX(MIN($N244,Aannames!$B$5)*Aannames!$C$5+MAX(0,MIN($N244,Aannames!$B$6)-Aannames!$B$5)*Aannames!$C$6+MAX(0,MIN($N244,Aannames!$B$7)-Aannames!$B$6)*Aannames!$C$7+MAX(0,$N244-Aannames!$B$7)*Aannames!$C$8,Aannames!$B$9)+Aannames!$B$10)</f>
        <v/>
      </c>
      <c r="P244" s="18" t="str">
        <f aca="false">IF($L244="","",IFERROR(_xlfn.SWITCH($L244,"M1",Aannames!$B$16,"M2",Aannames!$B$17,"M3",Aannames!$B$18,"M4",Aannames!$B$19),""))</f>
        <v/>
      </c>
      <c r="Q244" s="17" t="str">
        <f aca="false">IF(OR($O244="",$P244=""),"",IFERROR(_xlfn.SWITCH($L244,"M1",Aannames!$B$10,"M2",Aannames!$B$10+($O244-Aannames!$B$10)*Aannames!$B$12,"M3",Aannames!$B$10+($O244-Aannames!$B$10)*(Aannames!$B$12+Aannames!$B$13),"M4",$O244),0)+($O244-IFERROR(_xlfn.SWITCH($L244,"M1",Aannames!$B$10,"M2",Aannames!$B$10+($O244-Aannames!$B$10)*Aannames!$B$12,"M3",Aannames!$B$10+($O244-Aannames!$B$10)*(Aannames!$B$12+Aannames!$B$13),"M4",$O244),0))*$P244)</f>
        <v/>
      </c>
      <c r="U244" s="15"/>
    </row>
    <row r="245" customFormat="false" ht="15" hidden="false" customHeight="false" outlineLevel="0" collapsed="false">
      <c r="I245" s="15"/>
      <c r="N245" s="16"/>
      <c r="O245" s="17" t="str">
        <f aca="false">IF(OR($N245="",$N245=0),"",MAX(MIN($N245,Aannames!$B$5)*Aannames!$C$5+MAX(0,MIN($N245,Aannames!$B$6)-Aannames!$B$5)*Aannames!$C$6+MAX(0,MIN($N245,Aannames!$B$7)-Aannames!$B$6)*Aannames!$C$7+MAX(0,$N245-Aannames!$B$7)*Aannames!$C$8,Aannames!$B$9)+Aannames!$B$10)</f>
        <v/>
      </c>
      <c r="P245" s="18" t="str">
        <f aca="false">IF($L245="","",IFERROR(_xlfn.SWITCH($L245,"M1",Aannames!$B$16,"M2",Aannames!$B$17,"M3",Aannames!$B$18,"M4",Aannames!$B$19),""))</f>
        <v/>
      </c>
      <c r="Q245" s="17" t="str">
        <f aca="false">IF(OR($O245="",$P245=""),"",IFERROR(_xlfn.SWITCH($L245,"M1",Aannames!$B$10,"M2",Aannames!$B$10+($O245-Aannames!$B$10)*Aannames!$B$12,"M3",Aannames!$B$10+($O245-Aannames!$B$10)*(Aannames!$B$12+Aannames!$B$13),"M4",$O245),0)+($O245-IFERROR(_xlfn.SWITCH($L245,"M1",Aannames!$B$10,"M2",Aannames!$B$10+($O245-Aannames!$B$10)*Aannames!$B$12,"M3",Aannames!$B$10+($O245-Aannames!$B$10)*(Aannames!$B$12+Aannames!$B$13),"M4",$O245),0))*$P245)</f>
        <v/>
      </c>
      <c r="U245" s="15"/>
    </row>
    <row r="246" customFormat="false" ht="15" hidden="false" customHeight="false" outlineLevel="0" collapsed="false">
      <c r="I246" s="15"/>
      <c r="N246" s="16"/>
      <c r="O246" s="17" t="str">
        <f aca="false">IF(OR($N246="",$N246=0),"",MAX(MIN($N246,Aannames!$B$5)*Aannames!$C$5+MAX(0,MIN($N246,Aannames!$B$6)-Aannames!$B$5)*Aannames!$C$6+MAX(0,MIN($N246,Aannames!$B$7)-Aannames!$B$6)*Aannames!$C$7+MAX(0,$N246-Aannames!$B$7)*Aannames!$C$8,Aannames!$B$9)+Aannames!$B$10)</f>
        <v/>
      </c>
      <c r="P246" s="18" t="str">
        <f aca="false">IF($L246="","",IFERROR(_xlfn.SWITCH($L246,"M1",Aannames!$B$16,"M2",Aannames!$B$17,"M3",Aannames!$B$18,"M4",Aannames!$B$19),""))</f>
        <v/>
      </c>
      <c r="Q246" s="17" t="str">
        <f aca="false">IF(OR($O246="",$P246=""),"",IFERROR(_xlfn.SWITCH($L246,"M1",Aannames!$B$10,"M2",Aannames!$B$10+($O246-Aannames!$B$10)*Aannames!$B$12,"M3",Aannames!$B$10+($O246-Aannames!$B$10)*(Aannames!$B$12+Aannames!$B$13),"M4",$O246),0)+($O246-IFERROR(_xlfn.SWITCH($L246,"M1",Aannames!$B$10,"M2",Aannames!$B$10+($O246-Aannames!$B$10)*Aannames!$B$12,"M3",Aannames!$B$10+($O246-Aannames!$B$10)*(Aannames!$B$12+Aannames!$B$13),"M4",$O246),0))*$P246)</f>
        <v/>
      </c>
      <c r="U246" s="15"/>
    </row>
    <row r="247" customFormat="false" ht="15" hidden="false" customHeight="false" outlineLevel="0" collapsed="false">
      <c r="I247" s="15"/>
      <c r="N247" s="16"/>
      <c r="O247" s="17" t="str">
        <f aca="false">IF(OR($N247="",$N247=0),"",MAX(MIN($N247,Aannames!$B$5)*Aannames!$C$5+MAX(0,MIN($N247,Aannames!$B$6)-Aannames!$B$5)*Aannames!$C$6+MAX(0,MIN($N247,Aannames!$B$7)-Aannames!$B$6)*Aannames!$C$7+MAX(0,$N247-Aannames!$B$7)*Aannames!$C$8,Aannames!$B$9)+Aannames!$B$10)</f>
        <v/>
      </c>
      <c r="P247" s="18" t="str">
        <f aca="false">IF($L247="","",IFERROR(_xlfn.SWITCH($L247,"M1",Aannames!$B$16,"M2",Aannames!$B$17,"M3",Aannames!$B$18,"M4",Aannames!$B$19),""))</f>
        <v/>
      </c>
      <c r="Q247" s="17" t="str">
        <f aca="false">IF(OR($O247="",$P247=""),"",IFERROR(_xlfn.SWITCH($L247,"M1",Aannames!$B$10,"M2",Aannames!$B$10+($O247-Aannames!$B$10)*Aannames!$B$12,"M3",Aannames!$B$10+($O247-Aannames!$B$10)*(Aannames!$B$12+Aannames!$B$13),"M4",$O247),0)+($O247-IFERROR(_xlfn.SWITCH($L247,"M1",Aannames!$B$10,"M2",Aannames!$B$10+($O247-Aannames!$B$10)*Aannames!$B$12,"M3",Aannames!$B$10+($O247-Aannames!$B$10)*(Aannames!$B$12+Aannames!$B$13),"M4",$O247),0))*$P247)</f>
        <v/>
      </c>
      <c r="U247" s="15"/>
    </row>
    <row r="248" customFormat="false" ht="15" hidden="false" customHeight="false" outlineLevel="0" collapsed="false">
      <c r="I248" s="15"/>
      <c r="N248" s="16"/>
      <c r="O248" s="17" t="str">
        <f aca="false">IF(OR($N248="",$N248=0),"",MAX(MIN($N248,Aannames!$B$5)*Aannames!$C$5+MAX(0,MIN($N248,Aannames!$B$6)-Aannames!$B$5)*Aannames!$C$6+MAX(0,MIN($N248,Aannames!$B$7)-Aannames!$B$6)*Aannames!$C$7+MAX(0,$N248-Aannames!$B$7)*Aannames!$C$8,Aannames!$B$9)+Aannames!$B$10)</f>
        <v/>
      </c>
      <c r="P248" s="18" t="str">
        <f aca="false">IF($L248="","",IFERROR(_xlfn.SWITCH($L248,"M1",Aannames!$B$16,"M2",Aannames!$B$17,"M3",Aannames!$B$18,"M4",Aannames!$B$19),""))</f>
        <v/>
      </c>
      <c r="Q248" s="17" t="str">
        <f aca="false">IF(OR($O248="",$P248=""),"",IFERROR(_xlfn.SWITCH($L248,"M1",Aannames!$B$10,"M2",Aannames!$B$10+($O248-Aannames!$B$10)*Aannames!$B$12,"M3",Aannames!$B$10+($O248-Aannames!$B$10)*(Aannames!$B$12+Aannames!$B$13),"M4",$O248),0)+($O248-IFERROR(_xlfn.SWITCH($L248,"M1",Aannames!$B$10,"M2",Aannames!$B$10+($O248-Aannames!$B$10)*Aannames!$B$12,"M3",Aannames!$B$10+($O248-Aannames!$B$10)*(Aannames!$B$12+Aannames!$B$13),"M4",$O248),0))*$P248)</f>
        <v/>
      </c>
      <c r="U248" s="15"/>
    </row>
    <row r="249" customFormat="false" ht="15" hidden="false" customHeight="false" outlineLevel="0" collapsed="false">
      <c r="I249" s="15"/>
      <c r="N249" s="16"/>
      <c r="O249" s="17" t="str">
        <f aca="false">IF(OR($N249="",$N249=0),"",MAX(MIN($N249,Aannames!$B$5)*Aannames!$C$5+MAX(0,MIN($N249,Aannames!$B$6)-Aannames!$B$5)*Aannames!$C$6+MAX(0,MIN($N249,Aannames!$B$7)-Aannames!$B$6)*Aannames!$C$7+MAX(0,$N249-Aannames!$B$7)*Aannames!$C$8,Aannames!$B$9)+Aannames!$B$10)</f>
        <v/>
      </c>
      <c r="P249" s="18" t="str">
        <f aca="false">IF($L249="","",IFERROR(_xlfn.SWITCH($L249,"M1",Aannames!$B$16,"M2",Aannames!$B$17,"M3",Aannames!$B$18,"M4",Aannames!$B$19),""))</f>
        <v/>
      </c>
      <c r="Q249" s="17" t="str">
        <f aca="false">IF(OR($O249="",$P249=""),"",IFERROR(_xlfn.SWITCH($L249,"M1",Aannames!$B$10,"M2",Aannames!$B$10+($O249-Aannames!$B$10)*Aannames!$B$12,"M3",Aannames!$B$10+($O249-Aannames!$B$10)*(Aannames!$B$12+Aannames!$B$13),"M4",$O249),0)+($O249-IFERROR(_xlfn.SWITCH($L249,"M1",Aannames!$B$10,"M2",Aannames!$B$10+($O249-Aannames!$B$10)*Aannames!$B$12,"M3",Aannames!$B$10+($O249-Aannames!$B$10)*(Aannames!$B$12+Aannames!$B$13),"M4",$O249),0))*$P249)</f>
        <v/>
      </c>
      <c r="U249" s="15"/>
    </row>
    <row r="250" customFormat="false" ht="15" hidden="false" customHeight="false" outlineLevel="0" collapsed="false">
      <c r="I250" s="15"/>
      <c r="N250" s="16"/>
      <c r="O250" s="17" t="str">
        <f aca="false">IF(OR($N250="",$N250=0),"",MAX(MIN($N250,Aannames!$B$5)*Aannames!$C$5+MAX(0,MIN($N250,Aannames!$B$6)-Aannames!$B$5)*Aannames!$C$6+MAX(0,MIN($N250,Aannames!$B$7)-Aannames!$B$6)*Aannames!$C$7+MAX(0,$N250-Aannames!$B$7)*Aannames!$C$8,Aannames!$B$9)+Aannames!$B$10)</f>
        <v/>
      </c>
      <c r="P250" s="18" t="str">
        <f aca="false">IF($L250="","",IFERROR(_xlfn.SWITCH($L250,"M1",Aannames!$B$16,"M2",Aannames!$B$17,"M3",Aannames!$B$18,"M4",Aannames!$B$19),""))</f>
        <v/>
      </c>
      <c r="Q250" s="17" t="str">
        <f aca="false">IF(OR($O250="",$P250=""),"",IFERROR(_xlfn.SWITCH($L250,"M1",Aannames!$B$10,"M2",Aannames!$B$10+($O250-Aannames!$B$10)*Aannames!$B$12,"M3",Aannames!$B$10+($O250-Aannames!$B$10)*(Aannames!$B$12+Aannames!$B$13),"M4",$O250),0)+($O250-IFERROR(_xlfn.SWITCH($L250,"M1",Aannames!$B$10,"M2",Aannames!$B$10+($O250-Aannames!$B$10)*Aannames!$B$12,"M3",Aannames!$B$10+($O250-Aannames!$B$10)*(Aannames!$B$12+Aannames!$B$13),"M4",$O250),0))*$P250)</f>
        <v/>
      </c>
      <c r="U250" s="15"/>
    </row>
    <row r="251" customFormat="false" ht="15" hidden="false" customHeight="false" outlineLevel="0" collapsed="false">
      <c r="I251" s="15"/>
      <c r="N251" s="16"/>
      <c r="O251" s="17" t="str">
        <f aca="false">IF(OR($N251="",$N251=0),"",MAX(MIN($N251,Aannames!$B$5)*Aannames!$C$5+MAX(0,MIN($N251,Aannames!$B$6)-Aannames!$B$5)*Aannames!$C$6+MAX(0,MIN($N251,Aannames!$B$7)-Aannames!$B$6)*Aannames!$C$7+MAX(0,$N251-Aannames!$B$7)*Aannames!$C$8,Aannames!$B$9)+Aannames!$B$10)</f>
        <v/>
      </c>
      <c r="P251" s="18" t="str">
        <f aca="false">IF($L251="","",IFERROR(_xlfn.SWITCH($L251,"M1",Aannames!$B$16,"M2",Aannames!$B$17,"M3",Aannames!$B$18,"M4",Aannames!$B$19),""))</f>
        <v/>
      </c>
      <c r="Q251" s="17" t="str">
        <f aca="false">IF(OR($O251="",$P251=""),"",IFERROR(_xlfn.SWITCH($L251,"M1",Aannames!$B$10,"M2",Aannames!$B$10+($O251-Aannames!$B$10)*Aannames!$B$12,"M3",Aannames!$B$10+($O251-Aannames!$B$10)*(Aannames!$B$12+Aannames!$B$13),"M4",$O251),0)+($O251-IFERROR(_xlfn.SWITCH($L251,"M1",Aannames!$B$10,"M2",Aannames!$B$10+($O251-Aannames!$B$10)*Aannames!$B$12,"M3",Aannames!$B$10+($O251-Aannames!$B$10)*(Aannames!$B$12+Aannames!$B$13),"M4",$O251),0))*$P251)</f>
        <v/>
      </c>
      <c r="U251" s="15"/>
    </row>
    <row r="252" customFormat="false" ht="15" hidden="false" customHeight="false" outlineLevel="0" collapsed="false">
      <c r="I252" s="15"/>
      <c r="N252" s="16"/>
      <c r="O252" s="17" t="str">
        <f aca="false">IF(OR($N252="",$N252=0),"",MAX(MIN($N252,Aannames!$B$5)*Aannames!$C$5+MAX(0,MIN($N252,Aannames!$B$6)-Aannames!$B$5)*Aannames!$C$6+MAX(0,MIN($N252,Aannames!$B$7)-Aannames!$B$6)*Aannames!$C$7+MAX(0,$N252-Aannames!$B$7)*Aannames!$C$8,Aannames!$B$9)+Aannames!$B$10)</f>
        <v/>
      </c>
      <c r="P252" s="18" t="str">
        <f aca="false">IF($L252="","",IFERROR(_xlfn.SWITCH($L252,"M1",Aannames!$B$16,"M2",Aannames!$B$17,"M3",Aannames!$B$18,"M4",Aannames!$B$19),""))</f>
        <v/>
      </c>
      <c r="Q252" s="17" t="str">
        <f aca="false">IF(OR($O252="",$P252=""),"",IFERROR(_xlfn.SWITCH($L252,"M1",Aannames!$B$10,"M2",Aannames!$B$10+($O252-Aannames!$B$10)*Aannames!$B$12,"M3",Aannames!$B$10+($O252-Aannames!$B$10)*(Aannames!$B$12+Aannames!$B$13),"M4",$O252),0)+($O252-IFERROR(_xlfn.SWITCH($L252,"M1",Aannames!$B$10,"M2",Aannames!$B$10+($O252-Aannames!$B$10)*Aannames!$B$12,"M3",Aannames!$B$10+($O252-Aannames!$B$10)*(Aannames!$B$12+Aannames!$B$13),"M4",$O252),0))*$P252)</f>
        <v/>
      </c>
      <c r="U252" s="15"/>
    </row>
    <row r="253" customFormat="false" ht="15" hidden="false" customHeight="false" outlineLevel="0" collapsed="false">
      <c r="I253" s="15"/>
      <c r="N253" s="16"/>
      <c r="O253" s="17" t="str">
        <f aca="false">IF(OR($N253="",$N253=0),"",MAX(MIN($N253,Aannames!$B$5)*Aannames!$C$5+MAX(0,MIN($N253,Aannames!$B$6)-Aannames!$B$5)*Aannames!$C$6+MAX(0,MIN($N253,Aannames!$B$7)-Aannames!$B$6)*Aannames!$C$7+MAX(0,$N253-Aannames!$B$7)*Aannames!$C$8,Aannames!$B$9)+Aannames!$B$10)</f>
        <v/>
      </c>
      <c r="P253" s="18" t="str">
        <f aca="false">IF($L253="","",IFERROR(_xlfn.SWITCH($L253,"M1",Aannames!$B$16,"M2",Aannames!$B$17,"M3",Aannames!$B$18,"M4",Aannames!$B$19),""))</f>
        <v/>
      </c>
      <c r="Q253" s="17" t="str">
        <f aca="false">IF(OR($O253="",$P253=""),"",IFERROR(_xlfn.SWITCH($L253,"M1",Aannames!$B$10,"M2",Aannames!$B$10+($O253-Aannames!$B$10)*Aannames!$B$12,"M3",Aannames!$B$10+($O253-Aannames!$B$10)*(Aannames!$B$12+Aannames!$B$13),"M4",$O253),0)+($O253-IFERROR(_xlfn.SWITCH($L253,"M1",Aannames!$B$10,"M2",Aannames!$B$10+($O253-Aannames!$B$10)*Aannames!$B$12,"M3",Aannames!$B$10+($O253-Aannames!$B$10)*(Aannames!$B$12+Aannames!$B$13),"M4",$O253),0))*$P253)</f>
        <v/>
      </c>
      <c r="U253" s="15"/>
    </row>
    <row r="254" customFormat="false" ht="15" hidden="false" customHeight="false" outlineLevel="0" collapsed="false">
      <c r="I254" s="15"/>
      <c r="N254" s="16"/>
      <c r="O254" s="17" t="str">
        <f aca="false">IF(OR($N254="",$N254=0),"",MAX(MIN($N254,Aannames!$B$5)*Aannames!$C$5+MAX(0,MIN($N254,Aannames!$B$6)-Aannames!$B$5)*Aannames!$C$6+MAX(0,MIN($N254,Aannames!$B$7)-Aannames!$B$6)*Aannames!$C$7+MAX(0,$N254-Aannames!$B$7)*Aannames!$C$8,Aannames!$B$9)+Aannames!$B$10)</f>
        <v/>
      </c>
      <c r="P254" s="18" t="str">
        <f aca="false">IF($L254="","",IFERROR(_xlfn.SWITCH($L254,"M1",Aannames!$B$16,"M2",Aannames!$B$17,"M3",Aannames!$B$18,"M4",Aannames!$B$19),""))</f>
        <v/>
      </c>
      <c r="Q254" s="17" t="str">
        <f aca="false">IF(OR($O254="",$P254=""),"",IFERROR(_xlfn.SWITCH($L254,"M1",Aannames!$B$10,"M2",Aannames!$B$10+($O254-Aannames!$B$10)*Aannames!$B$12,"M3",Aannames!$B$10+($O254-Aannames!$B$10)*(Aannames!$B$12+Aannames!$B$13),"M4",$O254),0)+($O254-IFERROR(_xlfn.SWITCH($L254,"M1",Aannames!$B$10,"M2",Aannames!$B$10+($O254-Aannames!$B$10)*Aannames!$B$12,"M3",Aannames!$B$10+($O254-Aannames!$B$10)*(Aannames!$B$12+Aannames!$B$13),"M4",$O254),0))*$P254)</f>
        <v/>
      </c>
      <c r="U254" s="15"/>
    </row>
    <row r="255" customFormat="false" ht="15" hidden="false" customHeight="false" outlineLevel="0" collapsed="false">
      <c r="I255" s="15"/>
      <c r="N255" s="16"/>
      <c r="O255" s="17" t="str">
        <f aca="false">IF(OR($N255="",$N255=0),"",MAX(MIN($N255,Aannames!$B$5)*Aannames!$C$5+MAX(0,MIN($N255,Aannames!$B$6)-Aannames!$B$5)*Aannames!$C$6+MAX(0,MIN($N255,Aannames!$B$7)-Aannames!$B$6)*Aannames!$C$7+MAX(0,$N255-Aannames!$B$7)*Aannames!$C$8,Aannames!$B$9)+Aannames!$B$10)</f>
        <v/>
      </c>
      <c r="P255" s="18" t="str">
        <f aca="false">IF($L255="","",IFERROR(_xlfn.SWITCH($L255,"M1",Aannames!$B$16,"M2",Aannames!$B$17,"M3",Aannames!$B$18,"M4",Aannames!$B$19),""))</f>
        <v/>
      </c>
      <c r="Q255" s="17" t="str">
        <f aca="false">IF(OR($O255="",$P255=""),"",IFERROR(_xlfn.SWITCH($L255,"M1",Aannames!$B$10,"M2",Aannames!$B$10+($O255-Aannames!$B$10)*Aannames!$B$12,"M3",Aannames!$B$10+($O255-Aannames!$B$10)*(Aannames!$B$12+Aannames!$B$13),"M4",$O255),0)+($O255-IFERROR(_xlfn.SWITCH($L255,"M1",Aannames!$B$10,"M2",Aannames!$B$10+($O255-Aannames!$B$10)*Aannames!$B$12,"M3",Aannames!$B$10+($O255-Aannames!$B$10)*(Aannames!$B$12+Aannames!$B$13),"M4",$O255),0))*$P255)</f>
        <v/>
      </c>
      <c r="U255" s="15"/>
    </row>
    <row r="256" customFormat="false" ht="15" hidden="false" customHeight="false" outlineLevel="0" collapsed="false">
      <c r="I256" s="15"/>
      <c r="N256" s="16"/>
      <c r="O256" s="17" t="str">
        <f aca="false">IF(OR($N256="",$N256=0),"",MAX(MIN($N256,Aannames!$B$5)*Aannames!$C$5+MAX(0,MIN($N256,Aannames!$B$6)-Aannames!$B$5)*Aannames!$C$6+MAX(0,MIN($N256,Aannames!$B$7)-Aannames!$B$6)*Aannames!$C$7+MAX(0,$N256-Aannames!$B$7)*Aannames!$C$8,Aannames!$B$9)+Aannames!$B$10)</f>
        <v/>
      </c>
      <c r="P256" s="18" t="str">
        <f aca="false">IF($L256="","",IFERROR(_xlfn.SWITCH($L256,"M1",Aannames!$B$16,"M2",Aannames!$B$17,"M3",Aannames!$B$18,"M4",Aannames!$B$19),""))</f>
        <v/>
      </c>
      <c r="Q256" s="17" t="str">
        <f aca="false">IF(OR($O256="",$P256=""),"",IFERROR(_xlfn.SWITCH($L256,"M1",Aannames!$B$10,"M2",Aannames!$B$10+($O256-Aannames!$B$10)*Aannames!$B$12,"M3",Aannames!$B$10+($O256-Aannames!$B$10)*(Aannames!$B$12+Aannames!$B$13),"M4",$O256),0)+($O256-IFERROR(_xlfn.SWITCH($L256,"M1",Aannames!$B$10,"M2",Aannames!$B$10+($O256-Aannames!$B$10)*Aannames!$B$12,"M3",Aannames!$B$10+($O256-Aannames!$B$10)*(Aannames!$B$12+Aannames!$B$13),"M4",$O256),0))*$P256)</f>
        <v/>
      </c>
      <c r="U256" s="15"/>
    </row>
    <row r="257" customFormat="false" ht="15" hidden="false" customHeight="false" outlineLevel="0" collapsed="false">
      <c r="I257" s="15"/>
      <c r="N257" s="16"/>
      <c r="O257" s="17" t="str">
        <f aca="false">IF(OR($N257="",$N257=0),"",MAX(MIN($N257,Aannames!$B$5)*Aannames!$C$5+MAX(0,MIN($N257,Aannames!$B$6)-Aannames!$B$5)*Aannames!$C$6+MAX(0,MIN($N257,Aannames!$B$7)-Aannames!$B$6)*Aannames!$C$7+MAX(0,$N257-Aannames!$B$7)*Aannames!$C$8,Aannames!$B$9)+Aannames!$B$10)</f>
        <v/>
      </c>
      <c r="P257" s="18" t="str">
        <f aca="false">IF($L257="","",IFERROR(_xlfn.SWITCH($L257,"M1",Aannames!$B$16,"M2",Aannames!$B$17,"M3",Aannames!$B$18,"M4",Aannames!$B$19),""))</f>
        <v/>
      </c>
      <c r="Q257" s="17" t="str">
        <f aca="false">IF(OR($O257="",$P257=""),"",IFERROR(_xlfn.SWITCH($L257,"M1",Aannames!$B$10,"M2",Aannames!$B$10+($O257-Aannames!$B$10)*Aannames!$B$12,"M3",Aannames!$B$10+($O257-Aannames!$B$10)*(Aannames!$B$12+Aannames!$B$13),"M4",$O257),0)+($O257-IFERROR(_xlfn.SWITCH($L257,"M1",Aannames!$B$10,"M2",Aannames!$B$10+($O257-Aannames!$B$10)*Aannames!$B$12,"M3",Aannames!$B$10+($O257-Aannames!$B$10)*(Aannames!$B$12+Aannames!$B$13),"M4",$O257),0))*$P257)</f>
        <v/>
      </c>
      <c r="U257" s="15"/>
    </row>
    <row r="258" customFormat="false" ht="15" hidden="false" customHeight="false" outlineLevel="0" collapsed="false">
      <c r="I258" s="15"/>
      <c r="N258" s="16"/>
      <c r="O258" s="17" t="str">
        <f aca="false">IF(OR($N258="",$N258=0),"",MAX(MIN($N258,Aannames!$B$5)*Aannames!$C$5+MAX(0,MIN($N258,Aannames!$B$6)-Aannames!$B$5)*Aannames!$C$6+MAX(0,MIN($N258,Aannames!$B$7)-Aannames!$B$6)*Aannames!$C$7+MAX(0,$N258-Aannames!$B$7)*Aannames!$C$8,Aannames!$B$9)+Aannames!$B$10)</f>
        <v/>
      </c>
      <c r="P258" s="18" t="str">
        <f aca="false">IF($L258="","",IFERROR(_xlfn.SWITCH($L258,"M1",Aannames!$B$16,"M2",Aannames!$B$17,"M3",Aannames!$B$18,"M4",Aannames!$B$19),""))</f>
        <v/>
      </c>
      <c r="Q258" s="17" t="str">
        <f aca="false">IF(OR($O258="",$P258=""),"",IFERROR(_xlfn.SWITCH($L258,"M1",Aannames!$B$10,"M2",Aannames!$B$10+($O258-Aannames!$B$10)*Aannames!$B$12,"M3",Aannames!$B$10+($O258-Aannames!$B$10)*(Aannames!$B$12+Aannames!$B$13),"M4",$O258),0)+($O258-IFERROR(_xlfn.SWITCH($L258,"M1",Aannames!$B$10,"M2",Aannames!$B$10+($O258-Aannames!$B$10)*Aannames!$B$12,"M3",Aannames!$B$10+($O258-Aannames!$B$10)*(Aannames!$B$12+Aannames!$B$13),"M4",$O258),0))*$P258)</f>
        <v/>
      </c>
      <c r="U258" s="15"/>
    </row>
    <row r="259" customFormat="false" ht="15" hidden="false" customHeight="false" outlineLevel="0" collapsed="false">
      <c r="I259" s="15"/>
      <c r="N259" s="16"/>
      <c r="O259" s="17" t="str">
        <f aca="false">IF(OR($N259="",$N259=0),"",MAX(MIN($N259,Aannames!$B$5)*Aannames!$C$5+MAX(0,MIN($N259,Aannames!$B$6)-Aannames!$B$5)*Aannames!$C$6+MAX(0,MIN($N259,Aannames!$B$7)-Aannames!$B$6)*Aannames!$C$7+MAX(0,$N259-Aannames!$B$7)*Aannames!$C$8,Aannames!$B$9)+Aannames!$B$10)</f>
        <v/>
      </c>
      <c r="P259" s="18" t="str">
        <f aca="false">IF($L259="","",IFERROR(_xlfn.SWITCH($L259,"M1",Aannames!$B$16,"M2",Aannames!$B$17,"M3",Aannames!$B$18,"M4",Aannames!$B$19),""))</f>
        <v/>
      </c>
      <c r="Q259" s="17" t="str">
        <f aca="false">IF(OR($O259="",$P259=""),"",IFERROR(_xlfn.SWITCH($L259,"M1",Aannames!$B$10,"M2",Aannames!$B$10+($O259-Aannames!$B$10)*Aannames!$B$12,"M3",Aannames!$B$10+($O259-Aannames!$B$10)*(Aannames!$B$12+Aannames!$B$13),"M4",$O259),0)+($O259-IFERROR(_xlfn.SWITCH($L259,"M1",Aannames!$B$10,"M2",Aannames!$B$10+($O259-Aannames!$B$10)*Aannames!$B$12,"M3",Aannames!$B$10+($O259-Aannames!$B$10)*(Aannames!$B$12+Aannames!$B$13),"M4",$O259),0))*$P259)</f>
        <v/>
      </c>
      <c r="U259" s="15"/>
    </row>
    <row r="260" customFormat="false" ht="15" hidden="false" customHeight="false" outlineLevel="0" collapsed="false">
      <c r="I260" s="15"/>
      <c r="N260" s="16"/>
      <c r="O260" s="17" t="str">
        <f aca="false">IF(OR($N260="",$N260=0),"",MAX(MIN($N260,Aannames!$B$5)*Aannames!$C$5+MAX(0,MIN($N260,Aannames!$B$6)-Aannames!$B$5)*Aannames!$C$6+MAX(0,MIN($N260,Aannames!$B$7)-Aannames!$B$6)*Aannames!$C$7+MAX(0,$N260-Aannames!$B$7)*Aannames!$C$8,Aannames!$B$9)+Aannames!$B$10)</f>
        <v/>
      </c>
      <c r="P260" s="18" t="str">
        <f aca="false">IF($L260="","",IFERROR(_xlfn.SWITCH($L260,"M1",Aannames!$B$16,"M2",Aannames!$B$17,"M3",Aannames!$B$18,"M4",Aannames!$B$19),""))</f>
        <v/>
      </c>
      <c r="Q260" s="17" t="str">
        <f aca="false">IF(OR($O260="",$P260=""),"",IFERROR(_xlfn.SWITCH($L260,"M1",Aannames!$B$10,"M2",Aannames!$B$10+($O260-Aannames!$B$10)*Aannames!$B$12,"M3",Aannames!$B$10+($O260-Aannames!$B$10)*(Aannames!$B$12+Aannames!$B$13),"M4",$O260),0)+($O260-IFERROR(_xlfn.SWITCH($L260,"M1",Aannames!$B$10,"M2",Aannames!$B$10+($O260-Aannames!$B$10)*Aannames!$B$12,"M3",Aannames!$B$10+($O260-Aannames!$B$10)*(Aannames!$B$12+Aannames!$B$13),"M4",$O260),0))*$P260)</f>
        <v/>
      </c>
      <c r="U260" s="15"/>
    </row>
    <row r="261" customFormat="false" ht="15" hidden="false" customHeight="false" outlineLevel="0" collapsed="false">
      <c r="I261" s="15"/>
      <c r="N261" s="16"/>
      <c r="O261" s="17" t="str">
        <f aca="false">IF(OR($N261="",$N261=0),"",MAX(MIN($N261,Aannames!$B$5)*Aannames!$C$5+MAX(0,MIN($N261,Aannames!$B$6)-Aannames!$B$5)*Aannames!$C$6+MAX(0,MIN($N261,Aannames!$B$7)-Aannames!$B$6)*Aannames!$C$7+MAX(0,$N261-Aannames!$B$7)*Aannames!$C$8,Aannames!$B$9)+Aannames!$B$10)</f>
        <v/>
      </c>
      <c r="P261" s="18" t="str">
        <f aca="false">IF($L261="","",IFERROR(_xlfn.SWITCH($L261,"M1",Aannames!$B$16,"M2",Aannames!$B$17,"M3",Aannames!$B$18,"M4",Aannames!$B$19),""))</f>
        <v/>
      </c>
      <c r="Q261" s="17" t="str">
        <f aca="false">IF(OR($O261="",$P261=""),"",IFERROR(_xlfn.SWITCH($L261,"M1",Aannames!$B$10,"M2",Aannames!$B$10+($O261-Aannames!$B$10)*Aannames!$B$12,"M3",Aannames!$B$10+($O261-Aannames!$B$10)*(Aannames!$B$12+Aannames!$B$13),"M4",$O261),0)+($O261-IFERROR(_xlfn.SWITCH($L261,"M1",Aannames!$B$10,"M2",Aannames!$B$10+($O261-Aannames!$B$10)*Aannames!$B$12,"M3",Aannames!$B$10+($O261-Aannames!$B$10)*(Aannames!$B$12+Aannames!$B$13),"M4",$O261),0))*$P261)</f>
        <v/>
      </c>
      <c r="U261" s="15"/>
    </row>
    <row r="262" customFormat="false" ht="15" hidden="false" customHeight="false" outlineLevel="0" collapsed="false">
      <c r="I262" s="15"/>
      <c r="N262" s="16"/>
      <c r="O262" s="17" t="str">
        <f aca="false">IF(OR($N262="",$N262=0),"",MAX(MIN($N262,Aannames!$B$5)*Aannames!$C$5+MAX(0,MIN($N262,Aannames!$B$6)-Aannames!$B$5)*Aannames!$C$6+MAX(0,MIN($N262,Aannames!$B$7)-Aannames!$B$6)*Aannames!$C$7+MAX(0,$N262-Aannames!$B$7)*Aannames!$C$8,Aannames!$B$9)+Aannames!$B$10)</f>
        <v/>
      </c>
      <c r="P262" s="18" t="str">
        <f aca="false">IF($L262="","",IFERROR(_xlfn.SWITCH($L262,"M1",Aannames!$B$16,"M2",Aannames!$B$17,"M3",Aannames!$B$18,"M4",Aannames!$B$19),""))</f>
        <v/>
      </c>
      <c r="Q262" s="17" t="str">
        <f aca="false">IF(OR($O262="",$P262=""),"",IFERROR(_xlfn.SWITCH($L262,"M1",Aannames!$B$10,"M2",Aannames!$B$10+($O262-Aannames!$B$10)*Aannames!$B$12,"M3",Aannames!$B$10+($O262-Aannames!$B$10)*(Aannames!$B$12+Aannames!$B$13),"M4",$O262),0)+($O262-IFERROR(_xlfn.SWITCH($L262,"M1",Aannames!$B$10,"M2",Aannames!$B$10+($O262-Aannames!$B$10)*Aannames!$B$12,"M3",Aannames!$B$10+($O262-Aannames!$B$10)*(Aannames!$B$12+Aannames!$B$13),"M4",$O262),0))*$P262)</f>
        <v/>
      </c>
      <c r="U262" s="15"/>
    </row>
    <row r="263" customFormat="false" ht="15" hidden="false" customHeight="false" outlineLevel="0" collapsed="false">
      <c r="I263" s="15"/>
      <c r="N263" s="16"/>
      <c r="O263" s="17" t="str">
        <f aca="false">IF(OR($N263="",$N263=0),"",MAX(MIN($N263,Aannames!$B$5)*Aannames!$C$5+MAX(0,MIN($N263,Aannames!$B$6)-Aannames!$B$5)*Aannames!$C$6+MAX(0,MIN($N263,Aannames!$B$7)-Aannames!$B$6)*Aannames!$C$7+MAX(0,$N263-Aannames!$B$7)*Aannames!$C$8,Aannames!$B$9)+Aannames!$B$10)</f>
        <v/>
      </c>
      <c r="P263" s="18" t="str">
        <f aca="false">IF($L263="","",IFERROR(_xlfn.SWITCH($L263,"M1",Aannames!$B$16,"M2",Aannames!$B$17,"M3",Aannames!$B$18,"M4",Aannames!$B$19),""))</f>
        <v/>
      </c>
      <c r="Q263" s="17" t="str">
        <f aca="false">IF(OR($O263="",$P263=""),"",IFERROR(_xlfn.SWITCH($L263,"M1",Aannames!$B$10,"M2",Aannames!$B$10+($O263-Aannames!$B$10)*Aannames!$B$12,"M3",Aannames!$B$10+($O263-Aannames!$B$10)*(Aannames!$B$12+Aannames!$B$13),"M4",$O263),0)+($O263-IFERROR(_xlfn.SWITCH($L263,"M1",Aannames!$B$10,"M2",Aannames!$B$10+($O263-Aannames!$B$10)*Aannames!$B$12,"M3",Aannames!$B$10+($O263-Aannames!$B$10)*(Aannames!$B$12+Aannames!$B$13),"M4",$O263),0))*$P263)</f>
        <v/>
      </c>
      <c r="U263" s="15"/>
    </row>
    <row r="264" customFormat="false" ht="15" hidden="false" customHeight="false" outlineLevel="0" collapsed="false">
      <c r="I264" s="15"/>
      <c r="N264" s="16"/>
      <c r="O264" s="17" t="str">
        <f aca="false">IF(OR($N264="",$N264=0),"",MAX(MIN($N264,Aannames!$B$5)*Aannames!$C$5+MAX(0,MIN($N264,Aannames!$B$6)-Aannames!$B$5)*Aannames!$C$6+MAX(0,MIN($N264,Aannames!$B$7)-Aannames!$B$6)*Aannames!$C$7+MAX(0,$N264-Aannames!$B$7)*Aannames!$C$8,Aannames!$B$9)+Aannames!$B$10)</f>
        <v/>
      </c>
      <c r="P264" s="18" t="str">
        <f aca="false">IF($L264="","",IFERROR(_xlfn.SWITCH($L264,"M1",Aannames!$B$16,"M2",Aannames!$B$17,"M3",Aannames!$B$18,"M4",Aannames!$B$19),""))</f>
        <v/>
      </c>
      <c r="Q264" s="17" t="str">
        <f aca="false">IF(OR($O264="",$P264=""),"",IFERROR(_xlfn.SWITCH($L264,"M1",Aannames!$B$10,"M2",Aannames!$B$10+($O264-Aannames!$B$10)*Aannames!$B$12,"M3",Aannames!$B$10+($O264-Aannames!$B$10)*(Aannames!$B$12+Aannames!$B$13),"M4",$O264),0)+($O264-IFERROR(_xlfn.SWITCH($L264,"M1",Aannames!$B$10,"M2",Aannames!$B$10+($O264-Aannames!$B$10)*Aannames!$B$12,"M3",Aannames!$B$10+($O264-Aannames!$B$10)*(Aannames!$B$12+Aannames!$B$13),"M4",$O264),0))*$P264)</f>
        <v/>
      </c>
      <c r="U264" s="15"/>
    </row>
    <row r="265" customFormat="false" ht="15" hidden="false" customHeight="false" outlineLevel="0" collapsed="false">
      <c r="I265" s="15"/>
      <c r="N265" s="16"/>
      <c r="O265" s="17" t="str">
        <f aca="false">IF(OR($N265="",$N265=0),"",MAX(MIN($N265,Aannames!$B$5)*Aannames!$C$5+MAX(0,MIN($N265,Aannames!$B$6)-Aannames!$B$5)*Aannames!$C$6+MAX(0,MIN($N265,Aannames!$B$7)-Aannames!$B$6)*Aannames!$C$7+MAX(0,$N265-Aannames!$B$7)*Aannames!$C$8,Aannames!$B$9)+Aannames!$B$10)</f>
        <v/>
      </c>
      <c r="P265" s="18" t="str">
        <f aca="false">IF($L265="","",IFERROR(_xlfn.SWITCH($L265,"M1",Aannames!$B$16,"M2",Aannames!$B$17,"M3",Aannames!$B$18,"M4",Aannames!$B$19),""))</f>
        <v/>
      </c>
      <c r="Q265" s="17" t="str">
        <f aca="false">IF(OR($O265="",$P265=""),"",IFERROR(_xlfn.SWITCH($L265,"M1",Aannames!$B$10,"M2",Aannames!$B$10+($O265-Aannames!$B$10)*Aannames!$B$12,"M3",Aannames!$B$10+($O265-Aannames!$B$10)*(Aannames!$B$12+Aannames!$B$13),"M4",$O265),0)+($O265-IFERROR(_xlfn.SWITCH($L265,"M1",Aannames!$B$10,"M2",Aannames!$B$10+($O265-Aannames!$B$10)*Aannames!$B$12,"M3",Aannames!$B$10+($O265-Aannames!$B$10)*(Aannames!$B$12+Aannames!$B$13),"M4",$O265),0))*$P265)</f>
        <v/>
      </c>
      <c r="U265" s="15"/>
    </row>
    <row r="266" customFormat="false" ht="15" hidden="false" customHeight="false" outlineLevel="0" collapsed="false">
      <c r="I266" s="15"/>
      <c r="N266" s="16"/>
      <c r="O266" s="17" t="str">
        <f aca="false">IF(OR($N266="",$N266=0),"",MAX(MIN($N266,Aannames!$B$5)*Aannames!$C$5+MAX(0,MIN($N266,Aannames!$B$6)-Aannames!$B$5)*Aannames!$C$6+MAX(0,MIN($N266,Aannames!$B$7)-Aannames!$B$6)*Aannames!$C$7+MAX(0,$N266-Aannames!$B$7)*Aannames!$C$8,Aannames!$B$9)+Aannames!$B$10)</f>
        <v/>
      </c>
      <c r="P266" s="18" t="str">
        <f aca="false">IF($L266="","",IFERROR(_xlfn.SWITCH($L266,"M1",Aannames!$B$16,"M2",Aannames!$B$17,"M3",Aannames!$B$18,"M4",Aannames!$B$19),""))</f>
        <v/>
      </c>
      <c r="Q266" s="17" t="str">
        <f aca="false">IF(OR($O266="",$P266=""),"",IFERROR(_xlfn.SWITCH($L266,"M1",Aannames!$B$10,"M2",Aannames!$B$10+($O266-Aannames!$B$10)*Aannames!$B$12,"M3",Aannames!$B$10+($O266-Aannames!$B$10)*(Aannames!$B$12+Aannames!$B$13),"M4",$O266),0)+($O266-IFERROR(_xlfn.SWITCH($L266,"M1",Aannames!$B$10,"M2",Aannames!$B$10+($O266-Aannames!$B$10)*Aannames!$B$12,"M3",Aannames!$B$10+($O266-Aannames!$B$10)*(Aannames!$B$12+Aannames!$B$13),"M4",$O266),0))*$P266)</f>
        <v/>
      </c>
      <c r="U266" s="15"/>
    </row>
    <row r="267" customFormat="false" ht="15" hidden="false" customHeight="false" outlineLevel="0" collapsed="false">
      <c r="I267" s="15"/>
      <c r="N267" s="16"/>
      <c r="O267" s="17" t="str">
        <f aca="false">IF(OR($N267="",$N267=0),"",MAX(MIN($N267,Aannames!$B$5)*Aannames!$C$5+MAX(0,MIN($N267,Aannames!$B$6)-Aannames!$B$5)*Aannames!$C$6+MAX(0,MIN($N267,Aannames!$B$7)-Aannames!$B$6)*Aannames!$C$7+MAX(0,$N267-Aannames!$B$7)*Aannames!$C$8,Aannames!$B$9)+Aannames!$B$10)</f>
        <v/>
      </c>
      <c r="P267" s="18" t="str">
        <f aca="false">IF($L267="","",IFERROR(_xlfn.SWITCH($L267,"M1",Aannames!$B$16,"M2",Aannames!$B$17,"M3",Aannames!$B$18,"M4",Aannames!$B$19),""))</f>
        <v/>
      </c>
      <c r="Q267" s="17" t="str">
        <f aca="false">IF(OR($O267="",$P267=""),"",IFERROR(_xlfn.SWITCH($L267,"M1",Aannames!$B$10,"M2",Aannames!$B$10+($O267-Aannames!$B$10)*Aannames!$B$12,"M3",Aannames!$B$10+($O267-Aannames!$B$10)*(Aannames!$B$12+Aannames!$B$13),"M4",$O267),0)+($O267-IFERROR(_xlfn.SWITCH($L267,"M1",Aannames!$B$10,"M2",Aannames!$B$10+($O267-Aannames!$B$10)*Aannames!$B$12,"M3",Aannames!$B$10+($O267-Aannames!$B$10)*(Aannames!$B$12+Aannames!$B$13),"M4",$O267),0))*$P267)</f>
        <v/>
      </c>
      <c r="U267" s="15"/>
    </row>
    <row r="268" customFormat="false" ht="15" hidden="false" customHeight="false" outlineLevel="0" collapsed="false">
      <c r="I268" s="15"/>
      <c r="N268" s="16"/>
      <c r="O268" s="17" t="str">
        <f aca="false">IF(OR($N268="",$N268=0),"",MAX(MIN($N268,Aannames!$B$5)*Aannames!$C$5+MAX(0,MIN($N268,Aannames!$B$6)-Aannames!$B$5)*Aannames!$C$6+MAX(0,MIN($N268,Aannames!$B$7)-Aannames!$B$6)*Aannames!$C$7+MAX(0,$N268-Aannames!$B$7)*Aannames!$C$8,Aannames!$B$9)+Aannames!$B$10)</f>
        <v/>
      </c>
      <c r="P268" s="18" t="str">
        <f aca="false">IF($L268="","",IFERROR(_xlfn.SWITCH($L268,"M1",Aannames!$B$16,"M2",Aannames!$B$17,"M3",Aannames!$B$18,"M4",Aannames!$B$19),""))</f>
        <v/>
      </c>
      <c r="Q268" s="17" t="str">
        <f aca="false">IF(OR($O268="",$P268=""),"",IFERROR(_xlfn.SWITCH($L268,"M1",Aannames!$B$10,"M2",Aannames!$B$10+($O268-Aannames!$B$10)*Aannames!$B$12,"M3",Aannames!$B$10+($O268-Aannames!$B$10)*(Aannames!$B$12+Aannames!$B$13),"M4",$O268),0)+($O268-IFERROR(_xlfn.SWITCH($L268,"M1",Aannames!$B$10,"M2",Aannames!$B$10+($O268-Aannames!$B$10)*Aannames!$B$12,"M3",Aannames!$B$10+($O268-Aannames!$B$10)*(Aannames!$B$12+Aannames!$B$13),"M4",$O268),0))*$P268)</f>
        <v/>
      </c>
      <c r="U268" s="15"/>
    </row>
    <row r="269" customFormat="false" ht="15" hidden="false" customHeight="false" outlineLevel="0" collapsed="false">
      <c r="I269" s="15"/>
      <c r="N269" s="16"/>
      <c r="O269" s="17" t="str">
        <f aca="false">IF(OR($N269="",$N269=0),"",MAX(MIN($N269,Aannames!$B$5)*Aannames!$C$5+MAX(0,MIN($N269,Aannames!$B$6)-Aannames!$B$5)*Aannames!$C$6+MAX(0,MIN($N269,Aannames!$B$7)-Aannames!$B$6)*Aannames!$C$7+MAX(0,$N269-Aannames!$B$7)*Aannames!$C$8,Aannames!$B$9)+Aannames!$B$10)</f>
        <v/>
      </c>
      <c r="P269" s="18" t="str">
        <f aca="false">IF($L269="","",IFERROR(_xlfn.SWITCH($L269,"M1",Aannames!$B$16,"M2",Aannames!$B$17,"M3",Aannames!$B$18,"M4",Aannames!$B$19),""))</f>
        <v/>
      </c>
      <c r="Q269" s="17" t="str">
        <f aca="false">IF(OR($O269="",$P269=""),"",IFERROR(_xlfn.SWITCH($L269,"M1",Aannames!$B$10,"M2",Aannames!$B$10+($O269-Aannames!$B$10)*Aannames!$B$12,"M3",Aannames!$B$10+($O269-Aannames!$B$10)*(Aannames!$B$12+Aannames!$B$13),"M4",$O269),0)+($O269-IFERROR(_xlfn.SWITCH($L269,"M1",Aannames!$B$10,"M2",Aannames!$B$10+($O269-Aannames!$B$10)*Aannames!$B$12,"M3",Aannames!$B$10+($O269-Aannames!$B$10)*(Aannames!$B$12+Aannames!$B$13),"M4",$O269),0))*$P269)</f>
        <v/>
      </c>
      <c r="U269" s="15"/>
    </row>
    <row r="270" customFormat="false" ht="15" hidden="false" customHeight="false" outlineLevel="0" collapsed="false">
      <c r="I270" s="15"/>
      <c r="N270" s="16"/>
      <c r="O270" s="17" t="str">
        <f aca="false">IF(OR($N270="",$N270=0),"",MAX(MIN($N270,Aannames!$B$5)*Aannames!$C$5+MAX(0,MIN($N270,Aannames!$B$6)-Aannames!$B$5)*Aannames!$C$6+MAX(0,MIN($N270,Aannames!$B$7)-Aannames!$B$6)*Aannames!$C$7+MAX(0,$N270-Aannames!$B$7)*Aannames!$C$8,Aannames!$B$9)+Aannames!$B$10)</f>
        <v/>
      </c>
      <c r="P270" s="18" t="str">
        <f aca="false">IF($L270="","",IFERROR(_xlfn.SWITCH($L270,"M1",Aannames!$B$16,"M2",Aannames!$B$17,"M3",Aannames!$B$18,"M4",Aannames!$B$19),""))</f>
        <v/>
      </c>
      <c r="Q270" s="17" t="str">
        <f aca="false">IF(OR($O270="",$P270=""),"",IFERROR(_xlfn.SWITCH($L270,"M1",Aannames!$B$10,"M2",Aannames!$B$10+($O270-Aannames!$B$10)*Aannames!$B$12,"M3",Aannames!$B$10+($O270-Aannames!$B$10)*(Aannames!$B$12+Aannames!$B$13),"M4",$O270),0)+($O270-IFERROR(_xlfn.SWITCH($L270,"M1",Aannames!$B$10,"M2",Aannames!$B$10+($O270-Aannames!$B$10)*Aannames!$B$12,"M3",Aannames!$B$10+($O270-Aannames!$B$10)*(Aannames!$B$12+Aannames!$B$13),"M4",$O270),0))*$P270)</f>
        <v/>
      </c>
      <c r="U270" s="15"/>
    </row>
    <row r="271" customFormat="false" ht="15" hidden="false" customHeight="false" outlineLevel="0" collapsed="false">
      <c r="I271" s="15"/>
      <c r="N271" s="16"/>
      <c r="O271" s="17" t="str">
        <f aca="false">IF(OR($N271="",$N271=0),"",MAX(MIN($N271,Aannames!$B$5)*Aannames!$C$5+MAX(0,MIN($N271,Aannames!$B$6)-Aannames!$B$5)*Aannames!$C$6+MAX(0,MIN($N271,Aannames!$B$7)-Aannames!$B$6)*Aannames!$C$7+MAX(0,$N271-Aannames!$B$7)*Aannames!$C$8,Aannames!$B$9)+Aannames!$B$10)</f>
        <v/>
      </c>
      <c r="P271" s="18" t="str">
        <f aca="false">IF($L271="","",IFERROR(_xlfn.SWITCH($L271,"M1",Aannames!$B$16,"M2",Aannames!$B$17,"M3",Aannames!$B$18,"M4",Aannames!$B$19),""))</f>
        <v/>
      </c>
      <c r="Q271" s="17" t="str">
        <f aca="false">IF(OR($O271="",$P271=""),"",IFERROR(_xlfn.SWITCH($L271,"M1",Aannames!$B$10,"M2",Aannames!$B$10+($O271-Aannames!$B$10)*Aannames!$B$12,"M3",Aannames!$B$10+($O271-Aannames!$B$10)*(Aannames!$B$12+Aannames!$B$13),"M4",$O271),0)+($O271-IFERROR(_xlfn.SWITCH($L271,"M1",Aannames!$B$10,"M2",Aannames!$B$10+($O271-Aannames!$B$10)*Aannames!$B$12,"M3",Aannames!$B$10+($O271-Aannames!$B$10)*(Aannames!$B$12+Aannames!$B$13),"M4",$O271),0))*$P271)</f>
        <v/>
      </c>
      <c r="U271" s="15"/>
    </row>
    <row r="272" customFormat="false" ht="15" hidden="false" customHeight="false" outlineLevel="0" collapsed="false">
      <c r="I272" s="15"/>
      <c r="N272" s="16"/>
      <c r="O272" s="17" t="str">
        <f aca="false">IF(OR($N272="",$N272=0),"",MAX(MIN($N272,Aannames!$B$5)*Aannames!$C$5+MAX(0,MIN($N272,Aannames!$B$6)-Aannames!$B$5)*Aannames!$C$6+MAX(0,MIN($N272,Aannames!$B$7)-Aannames!$B$6)*Aannames!$C$7+MAX(0,$N272-Aannames!$B$7)*Aannames!$C$8,Aannames!$B$9)+Aannames!$B$10)</f>
        <v/>
      </c>
      <c r="P272" s="18" t="str">
        <f aca="false">IF($L272="","",IFERROR(_xlfn.SWITCH($L272,"M1",Aannames!$B$16,"M2",Aannames!$B$17,"M3",Aannames!$B$18,"M4",Aannames!$B$19),""))</f>
        <v/>
      </c>
      <c r="Q272" s="17" t="str">
        <f aca="false">IF(OR($O272="",$P272=""),"",IFERROR(_xlfn.SWITCH($L272,"M1",Aannames!$B$10,"M2",Aannames!$B$10+($O272-Aannames!$B$10)*Aannames!$B$12,"M3",Aannames!$B$10+($O272-Aannames!$B$10)*(Aannames!$B$12+Aannames!$B$13),"M4",$O272),0)+($O272-IFERROR(_xlfn.SWITCH($L272,"M1",Aannames!$B$10,"M2",Aannames!$B$10+($O272-Aannames!$B$10)*Aannames!$B$12,"M3",Aannames!$B$10+($O272-Aannames!$B$10)*(Aannames!$B$12+Aannames!$B$13),"M4",$O272),0))*$P272)</f>
        <v/>
      </c>
      <c r="U272" s="15"/>
    </row>
    <row r="273" customFormat="false" ht="15" hidden="false" customHeight="false" outlineLevel="0" collapsed="false">
      <c r="I273" s="15"/>
      <c r="N273" s="16"/>
      <c r="O273" s="17" t="str">
        <f aca="false">IF(OR($N273="",$N273=0),"",MAX(MIN($N273,Aannames!$B$5)*Aannames!$C$5+MAX(0,MIN($N273,Aannames!$B$6)-Aannames!$B$5)*Aannames!$C$6+MAX(0,MIN($N273,Aannames!$B$7)-Aannames!$B$6)*Aannames!$C$7+MAX(0,$N273-Aannames!$B$7)*Aannames!$C$8,Aannames!$B$9)+Aannames!$B$10)</f>
        <v/>
      </c>
      <c r="P273" s="18" t="str">
        <f aca="false">IF($L273="","",IFERROR(_xlfn.SWITCH($L273,"M1",Aannames!$B$16,"M2",Aannames!$B$17,"M3",Aannames!$B$18,"M4",Aannames!$B$19),""))</f>
        <v/>
      </c>
      <c r="Q273" s="17" t="str">
        <f aca="false">IF(OR($O273="",$P273=""),"",IFERROR(_xlfn.SWITCH($L273,"M1",Aannames!$B$10,"M2",Aannames!$B$10+($O273-Aannames!$B$10)*Aannames!$B$12,"M3",Aannames!$B$10+($O273-Aannames!$B$10)*(Aannames!$B$12+Aannames!$B$13),"M4",$O273),0)+($O273-IFERROR(_xlfn.SWITCH($L273,"M1",Aannames!$B$10,"M2",Aannames!$B$10+($O273-Aannames!$B$10)*Aannames!$B$12,"M3",Aannames!$B$10+($O273-Aannames!$B$10)*(Aannames!$B$12+Aannames!$B$13),"M4",$O273),0))*$P273)</f>
        <v/>
      </c>
      <c r="U273" s="15"/>
    </row>
    <row r="274" customFormat="false" ht="15" hidden="false" customHeight="false" outlineLevel="0" collapsed="false">
      <c r="I274" s="15"/>
      <c r="N274" s="16"/>
      <c r="O274" s="17" t="str">
        <f aca="false">IF(OR($N274="",$N274=0),"",MAX(MIN($N274,Aannames!$B$5)*Aannames!$C$5+MAX(0,MIN($N274,Aannames!$B$6)-Aannames!$B$5)*Aannames!$C$6+MAX(0,MIN($N274,Aannames!$B$7)-Aannames!$B$6)*Aannames!$C$7+MAX(0,$N274-Aannames!$B$7)*Aannames!$C$8,Aannames!$B$9)+Aannames!$B$10)</f>
        <v/>
      </c>
      <c r="P274" s="18" t="str">
        <f aca="false">IF($L274="","",IFERROR(_xlfn.SWITCH($L274,"M1",Aannames!$B$16,"M2",Aannames!$B$17,"M3",Aannames!$B$18,"M4",Aannames!$B$19),""))</f>
        <v/>
      </c>
      <c r="Q274" s="17" t="str">
        <f aca="false">IF(OR($O274="",$P274=""),"",IFERROR(_xlfn.SWITCH($L274,"M1",Aannames!$B$10,"M2",Aannames!$B$10+($O274-Aannames!$B$10)*Aannames!$B$12,"M3",Aannames!$B$10+($O274-Aannames!$B$10)*(Aannames!$B$12+Aannames!$B$13),"M4",$O274),0)+($O274-IFERROR(_xlfn.SWITCH($L274,"M1",Aannames!$B$10,"M2",Aannames!$B$10+($O274-Aannames!$B$10)*Aannames!$B$12,"M3",Aannames!$B$10+($O274-Aannames!$B$10)*(Aannames!$B$12+Aannames!$B$13),"M4",$O274),0))*$P274)</f>
        <v/>
      </c>
      <c r="U274" s="15"/>
    </row>
    <row r="275" customFormat="false" ht="15" hidden="false" customHeight="false" outlineLevel="0" collapsed="false">
      <c r="I275" s="15"/>
      <c r="N275" s="16"/>
      <c r="O275" s="17" t="str">
        <f aca="false">IF(OR($N275="",$N275=0),"",MAX(MIN($N275,Aannames!$B$5)*Aannames!$C$5+MAX(0,MIN($N275,Aannames!$B$6)-Aannames!$B$5)*Aannames!$C$6+MAX(0,MIN($N275,Aannames!$B$7)-Aannames!$B$6)*Aannames!$C$7+MAX(0,$N275-Aannames!$B$7)*Aannames!$C$8,Aannames!$B$9)+Aannames!$B$10)</f>
        <v/>
      </c>
      <c r="P275" s="18" t="str">
        <f aca="false">IF($L275="","",IFERROR(_xlfn.SWITCH($L275,"M1",Aannames!$B$16,"M2",Aannames!$B$17,"M3",Aannames!$B$18,"M4",Aannames!$B$19),""))</f>
        <v/>
      </c>
      <c r="Q275" s="17" t="str">
        <f aca="false">IF(OR($O275="",$P275=""),"",IFERROR(_xlfn.SWITCH($L275,"M1",Aannames!$B$10,"M2",Aannames!$B$10+($O275-Aannames!$B$10)*Aannames!$B$12,"M3",Aannames!$B$10+($O275-Aannames!$B$10)*(Aannames!$B$12+Aannames!$B$13),"M4",$O275),0)+($O275-IFERROR(_xlfn.SWITCH($L275,"M1",Aannames!$B$10,"M2",Aannames!$B$10+($O275-Aannames!$B$10)*Aannames!$B$12,"M3",Aannames!$B$10+($O275-Aannames!$B$10)*(Aannames!$B$12+Aannames!$B$13),"M4",$O275),0))*$P275)</f>
        <v/>
      </c>
      <c r="U275" s="15"/>
    </row>
    <row r="276" customFormat="false" ht="15" hidden="false" customHeight="false" outlineLevel="0" collapsed="false">
      <c r="I276" s="15"/>
      <c r="N276" s="16"/>
      <c r="O276" s="17" t="str">
        <f aca="false">IF(OR($N276="",$N276=0),"",MAX(MIN($N276,Aannames!$B$5)*Aannames!$C$5+MAX(0,MIN($N276,Aannames!$B$6)-Aannames!$B$5)*Aannames!$C$6+MAX(0,MIN($N276,Aannames!$B$7)-Aannames!$B$6)*Aannames!$C$7+MAX(0,$N276-Aannames!$B$7)*Aannames!$C$8,Aannames!$B$9)+Aannames!$B$10)</f>
        <v/>
      </c>
      <c r="P276" s="18" t="str">
        <f aca="false">IF($L276="","",IFERROR(_xlfn.SWITCH($L276,"M1",Aannames!$B$16,"M2",Aannames!$B$17,"M3",Aannames!$B$18,"M4",Aannames!$B$19),""))</f>
        <v/>
      </c>
      <c r="Q276" s="17" t="str">
        <f aca="false">IF(OR($O276="",$P276=""),"",IFERROR(_xlfn.SWITCH($L276,"M1",Aannames!$B$10,"M2",Aannames!$B$10+($O276-Aannames!$B$10)*Aannames!$B$12,"M3",Aannames!$B$10+($O276-Aannames!$B$10)*(Aannames!$B$12+Aannames!$B$13),"M4",$O276),0)+($O276-IFERROR(_xlfn.SWITCH($L276,"M1",Aannames!$B$10,"M2",Aannames!$B$10+($O276-Aannames!$B$10)*Aannames!$B$12,"M3",Aannames!$B$10+($O276-Aannames!$B$10)*(Aannames!$B$12+Aannames!$B$13),"M4",$O276),0))*$P276)</f>
        <v/>
      </c>
      <c r="U276" s="15"/>
    </row>
    <row r="277" customFormat="false" ht="15" hidden="false" customHeight="false" outlineLevel="0" collapsed="false">
      <c r="I277" s="15"/>
      <c r="N277" s="16"/>
      <c r="O277" s="17" t="str">
        <f aca="false">IF(OR($N277="",$N277=0),"",MAX(MIN($N277,Aannames!$B$5)*Aannames!$C$5+MAX(0,MIN($N277,Aannames!$B$6)-Aannames!$B$5)*Aannames!$C$6+MAX(0,MIN($N277,Aannames!$B$7)-Aannames!$B$6)*Aannames!$C$7+MAX(0,$N277-Aannames!$B$7)*Aannames!$C$8,Aannames!$B$9)+Aannames!$B$10)</f>
        <v/>
      </c>
      <c r="P277" s="18" t="str">
        <f aca="false">IF($L277="","",IFERROR(_xlfn.SWITCH($L277,"M1",Aannames!$B$16,"M2",Aannames!$B$17,"M3",Aannames!$B$18,"M4",Aannames!$B$19),""))</f>
        <v/>
      </c>
      <c r="Q277" s="17" t="str">
        <f aca="false">IF(OR($O277="",$P277=""),"",IFERROR(_xlfn.SWITCH($L277,"M1",Aannames!$B$10,"M2",Aannames!$B$10+($O277-Aannames!$B$10)*Aannames!$B$12,"M3",Aannames!$B$10+($O277-Aannames!$B$10)*(Aannames!$B$12+Aannames!$B$13),"M4",$O277),0)+($O277-IFERROR(_xlfn.SWITCH($L277,"M1",Aannames!$B$10,"M2",Aannames!$B$10+($O277-Aannames!$B$10)*Aannames!$B$12,"M3",Aannames!$B$10+($O277-Aannames!$B$10)*(Aannames!$B$12+Aannames!$B$13),"M4",$O277),0))*$P277)</f>
        <v/>
      </c>
      <c r="U277" s="15"/>
    </row>
    <row r="278" customFormat="false" ht="15" hidden="false" customHeight="false" outlineLevel="0" collapsed="false">
      <c r="I278" s="15"/>
      <c r="N278" s="16"/>
      <c r="O278" s="17" t="str">
        <f aca="false">IF(OR($N278="",$N278=0),"",MAX(MIN($N278,Aannames!$B$5)*Aannames!$C$5+MAX(0,MIN($N278,Aannames!$B$6)-Aannames!$B$5)*Aannames!$C$6+MAX(0,MIN($N278,Aannames!$B$7)-Aannames!$B$6)*Aannames!$C$7+MAX(0,$N278-Aannames!$B$7)*Aannames!$C$8,Aannames!$B$9)+Aannames!$B$10)</f>
        <v/>
      </c>
      <c r="P278" s="18" t="str">
        <f aca="false">IF($L278="","",IFERROR(_xlfn.SWITCH($L278,"M1",Aannames!$B$16,"M2",Aannames!$B$17,"M3",Aannames!$B$18,"M4",Aannames!$B$19),""))</f>
        <v/>
      </c>
      <c r="Q278" s="17" t="str">
        <f aca="false">IF(OR($O278="",$P278=""),"",IFERROR(_xlfn.SWITCH($L278,"M1",Aannames!$B$10,"M2",Aannames!$B$10+($O278-Aannames!$B$10)*Aannames!$B$12,"M3",Aannames!$B$10+($O278-Aannames!$B$10)*(Aannames!$B$12+Aannames!$B$13),"M4",$O278),0)+($O278-IFERROR(_xlfn.SWITCH($L278,"M1",Aannames!$B$10,"M2",Aannames!$B$10+($O278-Aannames!$B$10)*Aannames!$B$12,"M3",Aannames!$B$10+($O278-Aannames!$B$10)*(Aannames!$B$12+Aannames!$B$13),"M4",$O278),0))*$P278)</f>
        <v/>
      </c>
      <c r="U278" s="15"/>
    </row>
    <row r="279" customFormat="false" ht="15" hidden="false" customHeight="false" outlineLevel="0" collapsed="false">
      <c r="I279" s="15"/>
      <c r="N279" s="16"/>
      <c r="O279" s="17" t="str">
        <f aca="false">IF(OR($N279="",$N279=0),"",MAX(MIN($N279,Aannames!$B$5)*Aannames!$C$5+MAX(0,MIN($N279,Aannames!$B$6)-Aannames!$B$5)*Aannames!$C$6+MAX(0,MIN($N279,Aannames!$B$7)-Aannames!$B$6)*Aannames!$C$7+MAX(0,$N279-Aannames!$B$7)*Aannames!$C$8,Aannames!$B$9)+Aannames!$B$10)</f>
        <v/>
      </c>
      <c r="P279" s="18" t="str">
        <f aca="false">IF($L279="","",IFERROR(_xlfn.SWITCH($L279,"M1",Aannames!$B$16,"M2",Aannames!$B$17,"M3",Aannames!$B$18,"M4",Aannames!$B$19),""))</f>
        <v/>
      </c>
      <c r="Q279" s="17" t="str">
        <f aca="false">IF(OR($O279="",$P279=""),"",IFERROR(_xlfn.SWITCH($L279,"M1",Aannames!$B$10,"M2",Aannames!$B$10+($O279-Aannames!$B$10)*Aannames!$B$12,"M3",Aannames!$B$10+($O279-Aannames!$B$10)*(Aannames!$B$12+Aannames!$B$13),"M4",$O279),0)+($O279-IFERROR(_xlfn.SWITCH($L279,"M1",Aannames!$B$10,"M2",Aannames!$B$10+($O279-Aannames!$B$10)*Aannames!$B$12,"M3",Aannames!$B$10+($O279-Aannames!$B$10)*(Aannames!$B$12+Aannames!$B$13),"M4",$O279),0))*$P279)</f>
        <v/>
      </c>
      <c r="U279" s="15"/>
    </row>
    <row r="280" customFormat="false" ht="15" hidden="false" customHeight="false" outlineLevel="0" collapsed="false">
      <c r="I280" s="15"/>
      <c r="N280" s="16"/>
      <c r="O280" s="17" t="str">
        <f aca="false">IF(OR($N280="",$N280=0),"",MAX(MIN($N280,Aannames!$B$5)*Aannames!$C$5+MAX(0,MIN($N280,Aannames!$B$6)-Aannames!$B$5)*Aannames!$C$6+MAX(0,MIN($N280,Aannames!$B$7)-Aannames!$B$6)*Aannames!$C$7+MAX(0,$N280-Aannames!$B$7)*Aannames!$C$8,Aannames!$B$9)+Aannames!$B$10)</f>
        <v/>
      </c>
      <c r="P280" s="18" t="str">
        <f aca="false">IF($L280="","",IFERROR(_xlfn.SWITCH($L280,"M1",Aannames!$B$16,"M2",Aannames!$B$17,"M3",Aannames!$B$18,"M4",Aannames!$B$19),""))</f>
        <v/>
      </c>
      <c r="Q280" s="17" t="str">
        <f aca="false">IF(OR($O280="",$P280=""),"",IFERROR(_xlfn.SWITCH($L280,"M1",Aannames!$B$10,"M2",Aannames!$B$10+($O280-Aannames!$B$10)*Aannames!$B$12,"M3",Aannames!$B$10+($O280-Aannames!$B$10)*(Aannames!$B$12+Aannames!$B$13),"M4",$O280),0)+($O280-IFERROR(_xlfn.SWITCH($L280,"M1",Aannames!$B$10,"M2",Aannames!$B$10+($O280-Aannames!$B$10)*Aannames!$B$12,"M3",Aannames!$B$10+($O280-Aannames!$B$10)*(Aannames!$B$12+Aannames!$B$13),"M4",$O280),0))*$P280)</f>
        <v/>
      </c>
      <c r="U280" s="15"/>
    </row>
    <row r="281" customFormat="false" ht="15" hidden="false" customHeight="false" outlineLevel="0" collapsed="false">
      <c r="I281" s="15"/>
      <c r="N281" s="16"/>
      <c r="O281" s="17" t="str">
        <f aca="false">IF(OR($N281="",$N281=0),"",MAX(MIN($N281,Aannames!$B$5)*Aannames!$C$5+MAX(0,MIN($N281,Aannames!$B$6)-Aannames!$B$5)*Aannames!$C$6+MAX(0,MIN($N281,Aannames!$B$7)-Aannames!$B$6)*Aannames!$C$7+MAX(0,$N281-Aannames!$B$7)*Aannames!$C$8,Aannames!$B$9)+Aannames!$B$10)</f>
        <v/>
      </c>
      <c r="P281" s="18" t="str">
        <f aca="false">IF($L281="","",IFERROR(_xlfn.SWITCH($L281,"M1",Aannames!$B$16,"M2",Aannames!$B$17,"M3",Aannames!$B$18,"M4",Aannames!$B$19),""))</f>
        <v/>
      </c>
      <c r="Q281" s="17" t="str">
        <f aca="false">IF(OR($O281="",$P281=""),"",IFERROR(_xlfn.SWITCH($L281,"M1",Aannames!$B$10,"M2",Aannames!$B$10+($O281-Aannames!$B$10)*Aannames!$B$12,"M3",Aannames!$B$10+($O281-Aannames!$B$10)*(Aannames!$B$12+Aannames!$B$13),"M4",$O281),0)+($O281-IFERROR(_xlfn.SWITCH($L281,"M1",Aannames!$B$10,"M2",Aannames!$B$10+($O281-Aannames!$B$10)*Aannames!$B$12,"M3",Aannames!$B$10+($O281-Aannames!$B$10)*(Aannames!$B$12+Aannames!$B$13),"M4",$O281),0))*$P281)</f>
        <v/>
      </c>
      <c r="U281" s="15"/>
    </row>
    <row r="282" customFormat="false" ht="15" hidden="false" customHeight="false" outlineLevel="0" collapsed="false">
      <c r="I282" s="15"/>
      <c r="N282" s="16"/>
      <c r="O282" s="17" t="str">
        <f aca="false">IF(OR($N282="",$N282=0),"",MAX(MIN($N282,Aannames!$B$5)*Aannames!$C$5+MAX(0,MIN($N282,Aannames!$B$6)-Aannames!$B$5)*Aannames!$C$6+MAX(0,MIN($N282,Aannames!$B$7)-Aannames!$B$6)*Aannames!$C$7+MAX(0,$N282-Aannames!$B$7)*Aannames!$C$8,Aannames!$B$9)+Aannames!$B$10)</f>
        <v/>
      </c>
      <c r="P282" s="18" t="str">
        <f aca="false">IF($L282="","",IFERROR(_xlfn.SWITCH($L282,"M1",Aannames!$B$16,"M2",Aannames!$B$17,"M3",Aannames!$B$18,"M4",Aannames!$B$19),""))</f>
        <v/>
      </c>
      <c r="Q282" s="17" t="str">
        <f aca="false">IF(OR($O282="",$P282=""),"",IFERROR(_xlfn.SWITCH($L282,"M1",Aannames!$B$10,"M2",Aannames!$B$10+($O282-Aannames!$B$10)*Aannames!$B$12,"M3",Aannames!$B$10+($O282-Aannames!$B$10)*(Aannames!$B$12+Aannames!$B$13),"M4",$O282),0)+($O282-IFERROR(_xlfn.SWITCH($L282,"M1",Aannames!$B$10,"M2",Aannames!$B$10+($O282-Aannames!$B$10)*Aannames!$B$12,"M3",Aannames!$B$10+($O282-Aannames!$B$10)*(Aannames!$B$12+Aannames!$B$13),"M4",$O282),0))*$P282)</f>
        <v/>
      </c>
      <c r="U282" s="15"/>
    </row>
    <row r="283" customFormat="false" ht="15" hidden="false" customHeight="false" outlineLevel="0" collapsed="false">
      <c r="I283" s="15"/>
      <c r="N283" s="16"/>
      <c r="O283" s="17" t="str">
        <f aca="false">IF(OR($N283="",$N283=0),"",MAX(MIN($N283,Aannames!$B$5)*Aannames!$C$5+MAX(0,MIN($N283,Aannames!$B$6)-Aannames!$B$5)*Aannames!$C$6+MAX(0,MIN($N283,Aannames!$B$7)-Aannames!$B$6)*Aannames!$C$7+MAX(0,$N283-Aannames!$B$7)*Aannames!$C$8,Aannames!$B$9)+Aannames!$B$10)</f>
        <v/>
      </c>
      <c r="P283" s="18" t="str">
        <f aca="false">IF($L283="","",IFERROR(_xlfn.SWITCH($L283,"M1",Aannames!$B$16,"M2",Aannames!$B$17,"M3",Aannames!$B$18,"M4",Aannames!$B$19),""))</f>
        <v/>
      </c>
      <c r="Q283" s="17" t="str">
        <f aca="false">IF(OR($O283="",$P283=""),"",IFERROR(_xlfn.SWITCH($L283,"M1",Aannames!$B$10,"M2",Aannames!$B$10+($O283-Aannames!$B$10)*Aannames!$B$12,"M3",Aannames!$B$10+($O283-Aannames!$B$10)*(Aannames!$B$12+Aannames!$B$13),"M4",$O283),0)+($O283-IFERROR(_xlfn.SWITCH($L283,"M1",Aannames!$B$10,"M2",Aannames!$B$10+($O283-Aannames!$B$10)*Aannames!$B$12,"M3",Aannames!$B$10+($O283-Aannames!$B$10)*(Aannames!$B$12+Aannames!$B$13),"M4",$O283),0))*$P283)</f>
        <v/>
      </c>
      <c r="U283" s="15"/>
    </row>
    <row r="284" customFormat="false" ht="15" hidden="false" customHeight="false" outlineLevel="0" collapsed="false">
      <c r="I284" s="15"/>
      <c r="N284" s="16"/>
      <c r="O284" s="17" t="str">
        <f aca="false">IF(OR($N284="",$N284=0),"",MAX(MIN($N284,Aannames!$B$5)*Aannames!$C$5+MAX(0,MIN($N284,Aannames!$B$6)-Aannames!$B$5)*Aannames!$C$6+MAX(0,MIN($N284,Aannames!$B$7)-Aannames!$B$6)*Aannames!$C$7+MAX(0,$N284-Aannames!$B$7)*Aannames!$C$8,Aannames!$B$9)+Aannames!$B$10)</f>
        <v/>
      </c>
      <c r="P284" s="18" t="str">
        <f aca="false">IF($L284="","",IFERROR(_xlfn.SWITCH($L284,"M1",Aannames!$B$16,"M2",Aannames!$B$17,"M3",Aannames!$B$18,"M4",Aannames!$B$19),""))</f>
        <v/>
      </c>
      <c r="Q284" s="17" t="str">
        <f aca="false">IF(OR($O284="",$P284=""),"",IFERROR(_xlfn.SWITCH($L284,"M1",Aannames!$B$10,"M2",Aannames!$B$10+($O284-Aannames!$B$10)*Aannames!$B$12,"M3",Aannames!$B$10+($O284-Aannames!$B$10)*(Aannames!$B$12+Aannames!$B$13),"M4",$O284),0)+($O284-IFERROR(_xlfn.SWITCH($L284,"M1",Aannames!$B$10,"M2",Aannames!$B$10+($O284-Aannames!$B$10)*Aannames!$B$12,"M3",Aannames!$B$10+($O284-Aannames!$B$10)*(Aannames!$B$12+Aannames!$B$13),"M4",$O284),0))*$P284)</f>
        <v/>
      </c>
      <c r="U284" s="15"/>
    </row>
    <row r="285" customFormat="false" ht="15" hidden="false" customHeight="false" outlineLevel="0" collapsed="false">
      <c r="I285" s="15"/>
      <c r="N285" s="16"/>
      <c r="O285" s="17" t="str">
        <f aca="false">IF(OR($N285="",$N285=0),"",MAX(MIN($N285,Aannames!$B$5)*Aannames!$C$5+MAX(0,MIN($N285,Aannames!$B$6)-Aannames!$B$5)*Aannames!$C$6+MAX(0,MIN($N285,Aannames!$B$7)-Aannames!$B$6)*Aannames!$C$7+MAX(0,$N285-Aannames!$B$7)*Aannames!$C$8,Aannames!$B$9)+Aannames!$B$10)</f>
        <v/>
      </c>
      <c r="P285" s="18" t="str">
        <f aca="false">IF($L285="","",IFERROR(_xlfn.SWITCH($L285,"M1",Aannames!$B$16,"M2",Aannames!$B$17,"M3",Aannames!$B$18,"M4",Aannames!$B$19),""))</f>
        <v/>
      </c>
      <c r="Q285" s="17" t="str">
        <f aca="false">IF(OR($O285="",$P285=""),"",IFERROR(_xlfn.SWITCH($L285,"M1",Aannames!$B$10,"M2",Aannames!$B$10+($O285-Aannames!$B$10)*Aannames!$B$12,"M3",Aannames!$B$10+($O285-Aannames!$B$10)*(Aannames!$B$12+Aannames!$B$13),"M4",$O285),0)+($O285-IFERROR(_xlfn.SWITCH($L285,"M1",Aannames!$B$10,"M2",Aannames!$B$10+($O285-Aannames!$B$10)*Aannames!$B$12,"M3",Aannames!$B$10+($O285-Aannames!$B$10)*(Aannames!$B$12+Aannames!$B$13),"M4",$O285),0))*$P285)</f>
        <v/>
      </c>
      <c r="U285" s="15"/>
    </row>
    <row r="286" customFormat="false" ht="15" hidden="false" customHeight="false" outlineLevel="0" collapsed="false">
      <c r="I286" s="15"/>
      <c r="N286" s="16"/>
      <c r="O286" s="17" t="str">
        <f aca="false">IF(OR($N286="",$N286=0),"",MAX(MIN($N286,Aannames!$B$5)*Aannames!$C$5+MAX(0,MIN($N286,Aannames!$B$6)-Aannames!$B$5)*Aannames!$C$6+MAX(0,MIN($N286,Aannames!$B$7)-Aannames!$B$6)*Aannames!$C$7+MAX(0,$N286-Aannames!$B$7)*Aannames!$C$8,Aannames!$B$9)+Aannames!$B$10)</f>
        <v/>
      </c>
      <c r="P286" s="18" t="str">
        <f aca="false">IF($L286="","",IFERROR(_xlfn.SWITCH($L286,"M1",Aannames!$B$16,"M2",Aannames!$B$17,"M3",Aannames!$B$18,"M4",Aannames!$B$19),""))</f>
        <v/>
      </c>
      <c r="Q286" s="17" t="str">
        <f aca="false">IF(OR($O286="",$P286=""),"",IFERROR(_xlfn.SWITCH($L286,"M1",Aannames!$B$10,"M2",Aannames!$B$10+($O286-Aannames!$B$10)*Aannames!$B$12,"M3",Aannames!$B$10+($O286-Aannames!$B$10)*(Aannames!$B$12+Aannames!$B$13),"M4",$O286),0)+($O286-IFERROR(_xlfn.SWITCH($L286,"M1",Aannames!$B$10,"M2",Aannames!$B$10+($O286-Aannames!$B$10)*Aannames!$B$12,"M3",Aannames!$B$10+($O286-Aannames!$B$10)*(Aannames!$B$12+Aannames!$B$13),"M4",$O286),0))*$P286)</f>
        <v/>
      </c>
      <c r="U286" s="15"/>
    </row>
    <row r="287" customFormat="false" ht="15" hidden="false" customHeight="false" outlineLevel="0" collapsed="false">
      <c r="I287" s="15"/>
      <c r="N287" s="16"/>
      <c r="O287" s="17" t="str">
        <f aca="false">IF(OR($N287="",$N287=0),"",MAX(MIN($N287,Aannames!$B$5)*Aannames!$C$5+MAX(0,MIN($N287,Aannames!$B$6)-Aannames!$B$5)*Aannames!$C$6+MAX(0,MIN($N287,Aannames!$B$7)-Aannames!$B$6)*Aannames!$C$7+MAX(0,$N287-Aannames!$B$7)*Aannames!$C$8,Aannames!$B$9)+Aannames!$B$10)</f>
        <v/>
      </c>
      <c r="P287" s="18" t="str">
        <f aca="false">IF($L287="","",IFERROR(_xlfn.SWITCH($L287,"M1",Aannames!$B$16,"M2",Aannames!$B$17,"M3",Aannames!$B$18,"M4",Aannames!$B$19),""))</f>
        <v/>
      </c>
      <c r="Q287" s="17" t="str">
        <f aca="false">IF(OR($O287="",$P287=""),"",IFERROR(_xlfn.SWITCH($L287,"M1",Aannames!$B$10,"M2",Aannames!$B$10+($O287-Aannames!$B$10)*Aannames!$B$12,"M3",Aannames!$B$10+($O287-Aannames!$B$10)*(Aannames!$B$12+Aannames!$B$13),"M4",$O287),0)+($O287-IFERROR(_xlfn.SWITCH($L287,"M1",Aannames!$B$10,"M2",Aannames!$B$10+($O287-Aannames!$B$10)*Aannames!$B$12,"M3",Aannames!$B$10+($O287-Aannames!$B$10)*(Aannames!$B$12+Aannames!$B$13),"M4",$O287),0))*$P287)</f>
        <v/>
      </c>
      <c r="U287" s="15"/>
    </row>
    <row r="288" customFormat="false" ht="15" hidden="false" customHeight="false" outlineLevel="0" collapsed="false">
      <c r="I288" s="15"/>
      <c r="N288" s="16"/>
      <c r="O288" s="17" t="str">
        <f aca="false">IF(OR($N288="",$N288=0),"",MAX(MIN($N288,Aannames!$B$5)*Aannames!$C$5+MAX(0,MIN($N288,Aannames!$B$6)-Aannames!$B$5)*Aannames!$C$6+MAX(0,MIN($N288,Aannames!$B$7)-Aannames!$B$6)*Aannames!$C$7+MAX(0,$N288-Aannames!$B$7)*Aannames!$C$8,Aannames!$B$9)+Aannames!$B$10)</f>
        <v/>
      </c>
      <c r="P288" s="18" t="str">
        <f aca="false">IF($L288="","",IFERROR(_xlfn.SWITCH($L288,"M1",Aannames!$B$16,"M2",Aannames!$B$17,"M3",Aannames!$B$18,"M4",Aannames!$B$19),""))</f>
        <v/>
      </c>
      <c r="Q288" s="17" t="str">
        <f aca="false">IF(OR($O288="",$P288=""),"",IFERROR(_xlfn.SWITCH($L288,"M1",Aannames!$B$10,"M2",Aannames!$B$10+($O288-Aannames!$B$10)*Aannames!$B$12,"M3",Aannames!$B$10+($O288-Aannames!$B$10)*(Aannames!$B$12+Aannames!$B$13),"M4",$O288),0)+($O288-IFERROR(_xlfn.SWITCH($L288,"M1",Aannames!$B$10,"M2",Aannames!$B$10+($O288-Aannames!$B$10)*Aannames!$B$12,"M3",Aannames!$B$10+($O288-Aannames!$B$10)*(Aannames!$B$12+Aannames!$B$13),"M4",$O288),0))*$P288)</f>
        <v/>
      </c>
      <c r="U288" s="15"/>
    </row>
    <row r="289" customFormat="false" ht="15" hidden="false" customHeight="false" outlineLevel="0" collapsed="false">
      <c r="I289" s="15"/>
      <c r="N289" s="16"/>
      <c r="O289" s="17" t="str">
        <f aca="false">IF(OR($N289="",$N289=0),"",MAX(MIN($N289,Aannames!$B$5)*Aannames!$C$5+MAX(0,MIN($N289,Aannames!$B$6)-Aannames!$B$5)*Aannames!$C$6+MAX(0,MIN($N289,Aannames!$B$7)-Aannames!$B$6)*Aannames!$C$7+MAX(0,$N289-Aannames!$B$7)*Aannames!$C$8,Aannames!$B$9)+Aannames!$B$10)</f>
        <v/>
      </c>
      <c r="P289" s="18" t="str">
        <f aca="false">IF($L289="","",IFERROR(_xlfn.SWITCH($L289,"M1",Aannames!$B$16,"M2",Aannames!$B$17,"M3",Aannames!$B$18,"M4",Aannames!$B$19),""))</f>
        <v/>
      </c>
      <c r="Q289" s="17" t="str">
        <f aca="false">IF(OR($O289="",$P289=""),"",IFERROR(_xlfn.SWITCH($L289,"M1",Aannames!$B$10,"M2",Aannames!$B$10+($O289-Aannames!$B$10)*Aannames!$B$12,"M3",Aannames!$B$10+($O289-Aannames!$B$10)*(Aannames!$B$12+Aannames!$B$13),"M4",$O289),0)+($O289-IFERROR(_xlfn.SWITCH($L289,"M1",Aannames!$B$10,"M2",Aannames!$B$10+($O289-Aannames!$B$10)*Aannames!$B$12,"M3",Aannames!$B$10+($O289-Aannames!$B$10)*(Aannames!$B$12+Aannames!$B$13),"M4",$O289),0))*$P289)</f>
        <v/>
      </c>
      <c r="U289" s="15"/>
    </row>
    <row r="290" customFormat="false" ht="15" hidden="false" customHeight="false" outlineLevel="0" collapsed="false">
      <c r="I290" s="15"/>
      <c r="N290" s="16"/>
      <c r="O290" s="17" t="str">
        <f aca="false">IF(OR($N290="",$N290=0),"",MAX(MIN($N290,Aannames!$B$5)*Aannames!$C$5+MAX(0,MIN($N290,Aannames!$B$6)-Aannames!$B$5)*Aannames!$C$6+MAX(0,MIN($N290,Aannames!$B$7)-Aannames!$B$6)*Aannames!$C$7+MAX(0,$N290-Aannames!$B$7)*Aannames!$C$8,Aannames!$B$9)+Aannames!$B$10)</f>
        <v/>
      </c>
      <c r="P290" s="18" t="str">
        <f aca="false">IF($L290="","",IFERROR(_xlfn.SWITCH($L290,"M1",Aannames!$B$16,"M2",Aannames!$B$17,"M3",Aannames!$B$18,"M4",Aannames!$B$19),""))</f>
        <v/>
      </c>
      <c r="Q290" s="17" t="str">
        <f aca="false">IF(OR($O290="",$P290=""),"",IFERROR(_xlfn.SWITCH($L290,"M1",Aannames!$B$10,"M2",Aannames!$B$10+($O290-Aannames!$B$10)*Aannames!$B$12,"M3",Aannames!$B$10+($O290-Aannames!$B$10)*(Aannames!$B$12+Aannames!$B$13),"M4",$O290),0)+($O290-IFERROR(_xlfn.SWITCH($L290,"M1",Aannames!$B$10,"M2",Aannames!$B$10+($O290-Aannames!$B$10)*Aannames!$B$12,"M3",Aannames!$B$10+($O290-Aannames!$B$10)*(Aannames!$B$12+Aannames!$B$13),"M4",$O290),0))*$P290)</f>
        <v/>
      </c>
      <c r="U290" s="15"/>
    </row>
    <row r="291" customFormat="false" ht="15" hidden="false" customHeight="false" outlineLevel="0" collapsed="false">
      <c r="I291" s="15"/>
      <c r="N291" s="16"/>
      <c r="O291" s="17" t="str">
        <f aca="false">IF(OR($N291="",$N291=0),"",MAX(MIN($N291,Aannames!$B$5)*Aannames!$C$5+MAX(0,MIN($N291,Aannames!$B$6)-Aannames!$B$5)*Aannames!$C$6+MAX(0,MIN($N291,Aannames!$B$7)-Aannames!$B$6)*Aannames!$C$7+MAX(0,$N291-Aannames!$B$7)*Aannames!$C$8,Aannames!$B$9)+Aannames!$B$10)</f>
        <v/>
      </c>
      <c r="P291" s="18" t="str">
        <f aca="false">IF($L291="","",IFERROR(_xlfn.SWITCH($L291,"M1",Aannames!$B$16,"M2",Aannames!$B$17,"M3",Aannames!$B$18,"M4",Aannames!$B$19),""))</f>
        <v/>
      </c>
      <c r="Q291" s="17" t="str">
        <f aca="false">IF(OR($O291="",$P291=""),"",IFERROR(_xlfn.SWITCH($L291,"M1",Aannames!$B$10,"M2",Aannames!$B$10+($O291-Aannames!$B$10)*Aannames!$B$12,"M3",Aannames!$B$10+($O291-Aannames!$B$10)*(Aannames!$B$12+Aannames!$B$13),"M4",$O291),0)+($O291-IFERROR(_xlfn.SWITCH($L291,"M1",Aannames!$B$10,"M2",Aannames!$B$10+($O291-Aannames!$B$10)*Aannames!$B$12,"M3",Aannames!$B$10+($O291-Aannames!$B$10)*(Aannames!$B$12+Aannames!$B$13),"M4",$O291),0))*$P291)</f>
        <v/>
      </c>
      <c r="U291" s="15"/>
    </row>
    <row r="292" customFormat="false" ht="15" hidden="false" customHeight="false" outlineLevel="0" collapsed="false">
      <c r="I292" s="15"/>
      <c r="N292" s="16"/>
      <c r="O292" s="17" t="str">
        <f aca="false">IF(OR($N292="",$N292=0),"",MAX(MIN($N292,Aannames!$B$5)*Aannames!$C$5+MAX(0,MIN($N292,Aannames!$B$6)-Aannames!$B$5)*Aannames!$C$6+MAX(0,MIN($N292,Aannames!$B$7)-Aannames!$B$6)*Aannames!$C$7+MAX(0,$N292-Aannames!$B$7)*Aannames!$C$8,Aannames!$B$9)+Aannames!$B$10)</f>
        <v/>
      </c>
      <c r="P292" s="18" t="str">
        <f aca="false">IF($L292="","",IFERROR(_xlfn.SWITCH($L292,"M1",Aannames!$B$16,"M2",Aannames!$B$17,"M3",Aannames!$B$18,"M4",Aannames!$B$19),""))</f>
        <v/>
      </c>
      <c r="Q292" s="17" t="str">
        <f aca="false">IF(OR($O292="",$P292=""),"",IFERROR(_xlfn.SWITCH($L292,"M1",Aannames!$B$10,"M2",Aannames!$B$10+($O292-Aannames!$B$10)*Aannames!$B$12,"M3",Aannames!$B$10+($O292-Aannames!$B$10)*(Aannames!$B$12+Aannames!$B$13),"M4",$O292),0)+($O292-IFERROR(_xlfn.SWITCH($L292,"M1",Aannames!$B$10,"M2",Aannames!$B$10+($O292-Aannames!$B$10)*Aannames!$B$12,"M3",Aannames!$B$10+($O292-Aannames!$B$10)*(Aannames!$B$12+Aannames!$B$13),"M4",$O292),0))*$P292)</f>
        <v/>
      </c>
      <c r="U292" s="15"/>
    </row>
    <row r="293" customFormat="false" ht="15" hidden="false" customHeight="false" outlineLevel="0" collapsed="false">
      <c r="I293" s="15"/>
      <c r="N293" s="16"/>
      <c r="O293" s="17" t="str">
        <f aca="false">IF(OR($N293="",$N293=0),"",MAX(MIN($N293,Aannames!$B$5)*Aannames!$C$5+MAX(0,MIN($N293,Aannames!$B$6)-Aannames!$B$5)*Aannames!$C$6+MAX(0,MIN($N293,Aannames!$B$7)-Aannames!$B$6)*Aannames!$C$7+MAX(0,$N293-Aannames!$B$7)*Aannames!$C$8,Aannames!$B$9)+Aannames!$B$10)</f>
        <v/>
      </c>
      <c r="P293" s="18" t="str">
        <f aca="false">IF($L293="","",IFERROR(_xlfn.SWITCH($L293,"M1",Aannames!$B$16,"M2",Aannames!$B$17,"M3",Aannames!$B$18,"M4",Aannames!$B$19),""))</f>
        <v/>
      </c>
      <c r="Q293" s="17" t="str">
        <f aca="false">IF(OR($O293="",$P293=""),"",IFERROR(_xlfn.SWITCH($L293,"M1",Aannames!$B$10,"M2",Aannames!$B$10+($O293-Aannames!$B$10)*Aannames!$B$12,"M3",Aannames!$B$10+($O293-Aannames!$B$10)*(Aannames!$B$12+Aannames!$B$13),"M4",$O293),0)+($O293-IFERROR(_xlfn.SWITCH($L293,"M1",Aannames!$B$10,"M2",Aannames!$B$10+($O293-Aannames!$B$10)*Aannames!$B$12,"M3",Aannames!$B$10+($O293-Aannames!$B$10)*(Aannames!$B$12+Aannames!$B$13),"M4",$O293),0))*$P293)</f>
        <v/>
      </c>
      <c r="U293" s="15"/>
    </row>
    <row r="294" customFormat="false" ht="15" hidden="false" customHeight="false" outlineLevel="0" collapsed="false">
      <c r="I294" s="15"/>
      <c r="N294" s="16"/>
      <c r="O294" s="17" t="str">
        <f aca="false">IF(OR($N294="",$N294=0),"",MAX(MIN($N294,Aannames!$B$5)*Aannames!$C$5+MAX(0,MIN($N294,Aannames!$B$6)-Aannames!$B$5)*Aannames!$C$6+MAX(0,MIN($N294,Aannames!$B$7)-Aannames!$B$6)*Aannames!$C$7+MAX(0,$N294-Aannames!$B$7)*Aannames!$C$8,Aannames!$B$9)+Aannames!$B$10)</f>
        <v/>
      </c>
      <c r="P294" s="18" t="str">
        <f aca="false">IF($L294="","",IFERROR(_xlfn.SWITCH($L294,"M1",Aannames!$B$16,"M2",Aannames!$B$17,"M3",Aannames!$B$18,"M4",Aannames!$B$19),""))</f>
        <v/>
      </c>
      <c r="Q294" s="17" t="str">
        <f aca="false">IF(OR($O294="",$P294=""),"",IFERROR(_xlfn.SWITCH($L294,"M1",Aannames!$B$10,"M2",Aannames!$B$10+($O294-Aannames!$B$10)*Aannames!$B$12,"M3",Aannames!$B$10+($O294-Aannames!$B$10)*(Aannames!$B$12+Aannames!$B$13),"M4",$O294),0)+($O294-IFERROR(_xlfn.SWITCH($L294,"M1",Aannames!$B$10,"M2",Aannames!$B$10+($O294-Aannames!$B$10)*Aannames!$B$12,"M3",Aannames!$B$10+($O294-Aannames!$B$10)*(Aannames!$B$12+Aannames!$B$13),"M4",$O294),0))*$P294)</f>
        <v/>
      </c>
      <c r="U294" s="15"/>
    </row>
    <row r="295" customFormat="false" ht="15" hidden="false" customHeight="false" outlineLevel="0" collapsed="false">
      <c r="I295" s="15"/>
      <c r="N295" s="16"/>
      <c r="O295" s="17" t="str">
        <f aca="false">IF(OR($N295="",$N295=0),"",MAX(MIN($N295,Aannames!$B$5)*Aannames!$C$5+MAX(0,MIN($N295,Aannames!$B$6)-Aannames!$B$5)*Aannames!$C$6+MAX(0,MIN($N295,Aannames!$B$7)-Aannames!$B$6)*Aannames!$C$7+MAX(0,$N295-Aannames!$B$7)*Aannames!$C$8,Aannames!$B$9)+Aannames!$B$10)</f>
        <v/>
      </c>
      <c r="P295" s="18" t="str">
        <f aca="false">IF($L295="","",IFERROR(_xlfn.SWITCH($L295,"M1",Aannames!$B$16,"M2",Aannames!$B$17,"M3",Aannames!$B$18,"M4",Aannames!$B$19),""))</f>
        <v/>
      </c>
      <c r="Q295" s="17" t="str">
        <f aca="false">IF(OR($O295="",$P295=""),"",IFERROR(_xlfn.SWITCH($L295,"M1",Aannames!$B$10,"M2",Aannames!$B$10+($O295-Aannames!$B$10)*Aannames!$B$12,"M3",Aannames!$B$10+($O295-Aannames!$B$10)*(Aannames!$B$12+Aannames!$B$13),"M4",$O295),0)+($O295-IFERROR(_xlfn.SWITCH($L295,"M1",Aannames!$B$10,"M2",Aannames!$B$10+($O295-Aannames!$B$10)*Aannames!$B$12,"M3",Aannames!$B$10+($O295-Aannames!$B$10)*(Aannames!$B$12+Aannames!$B$13),"M4",$O295),0))*$P295)</f>
        <v/>
      </c>
      <c r="U295" s="15"/>
    </row>
    <row r="296" customFormat="false" ht="15" hidden="false" customHeight="false" outlineLevel="0" collapsed="false">
      <c r="I296" s="15"/>
      <c r="N296" s="16"/>
      <c r="O296" s="17" t="str">
        <f aca="false">IF(OR($N296="",$N296=0),"",MAX(MIN($N296,Aannames!$B$5)*Aannames!$C$5+MAX(0,MIN($N296,Aannames!$B$6)-Aannames!$B$5)*Aannames!$C$6+MAX(0,MIN($N296,Aannames!$B$7)-Aannames!$B$6)*Aannames!$C$7+MAX(0,$N296-Aannames!$B$7)*Aannames!$C$8,Aannames!$B$9)+Aannames!$B$10)</f>
        <v/>
      </c>
      <c r="P296" s="18" t="str">
        <f aca="false">IF($L296="","",IFERROR(_xlfn.SWITCH($L296,"M1",Aannames!$B$16,"M2",Aannames!$B$17,"M3",Aannames!$B$18,"M4",Aannames!$B$19),""))</f>
        <v/>
      </c>
      <c r="Q296" s="17" t="str">
        <f aca="false">IF(OR($O296="",$P296=""),"",IFERROR(_xlfn.SWITCH($L296,"M1",Aannames!$B$10,"M2",Aannames!$B$10+($O296-Aannames!$B$10)*Aannames!$B$12,"M3",Aannames!$B$10+($O296-Aannames!$B$10)*(Aannames!$B$12+Aannames!$B$13),"M4",$O296),0)+($O296-IFERROR(_xlfn.SWITCH($L296,"M1",Aannames!$B$10,"M2",Aannames!$B$10+($O296-Aannames!$B$10)*Aannames!$B$12,"M3",Aannames!$B$10+($O296-Aannames!$B$10)*(Aannames!$B$12+Aannames!$B$13),"M4",$O296),0))*$P296)</f>
        <v/>
      </c>
      <c r="U296" s="15"/>
    </row>
    <row r="297" customFormat="false" ht="15" hidden="false" customHeight="false" outlineLevel="0" collapsed="false">
      <c r="I297" s="15"/>
      <c r="N297" s="16"/>
      <c r="O297" s="17" t="str">
        <f aca="false">IF(OR($N297="",$N297=0),"",MAX(MIN($N297,Aannames!$B$5)*Aannames!$C$5+MAX(0,MIN($N297,Aannames!$B$6)-Aannames!$B$5)*Aannames!$C$6+MAX(0,MIN($N297,Aannames!$B$7)-Aannames!$B$6)*Aannames!$C$7+MAX(0,$N297-Aannames!$B$7)*Aannames!$C$8,Aannames!$B$9)+Aannames!$B$10)</f>
        <v/>
      </c>
      <c r="P297" s="18" t="str">
        <f aca="false">IF($L297="","",IFERROR(_xlfn.SWITCH($L297,"M1",Aannames!$B$16,"M2",Aannames!$B$17,"M3",Aannames!$B$18,"M4",Aannames!$B$19),""))</f>
        <v/>
      </c>
      <c r="Q297" s="17" t="str">
        <f aca="false">IF(OR($O297="",$P297=""),"",IFERROR(_xlfn.SWITCH($L297,"M1",Aannames!$B$10,"M2",Aannames!$B$10+($O297-Aannames!$B$10)*Aannames!$B$12,"M3",Aannames!$B$10+($O297-Aannames!$B$10)*(Aannames!$B$12+Aannames!$B$13),"M4",$O297),0)+($O297-IFERROR(_xlfn.SWITCH($L297,"M1",Aannames!$B$10,"M2",Aannames!$B$10+($O297-Aannames!$B$10)*Aannames!$B$12,"M3",Aannames!$B$10+($O297-Aannames!$B$10)*(Aannames!$B$12+Aannames!$B$13),"M4",$O297),0))*$P297)</f>
        <v/>
      </c>
      <c r="U297" s="15"/>
    </row>
    <row r="298" customFormat="false" ht="15" hidden="false" customHeight="false" outlineLevel="0" collapsed="false">
      <c r="I298" s="15"/>
      <c r="N298" s="16"/>
      <c r="O298" s="17" t="str">
        <f aca="false">IF(OR($N298="",$N298=0),"",MAX(MIN($N298,Aannames!$B$5)*Aannames!$C$5+MAX(0,MIN($N298,Aannames!$B$6)-Aannames!$B$5)*Aannames!$C$6+MAX(0,MIN($N298,Aannames!$B$7)-Aannames!$B$6)*Aannames!$C$7+MAX(0,$N298-Aannames!$B$7)*Aannames!$C$8,Aannames!$B$9)+Aannames!$B$10)</f>
        <v/>
      </c>
      <c r="P298" s="18" t="str">
        <f aca="false">IF($L298="","",IFERROR(_xlfn.SWITCH($L298,"M1",Aannames!$B$16,"M2",Aannames!$B$17,"M3",Aannames!$B$18,"M4",Aannames!$B$19),""))</f>
        <v/>
      </c>
      <c r="Q298" s="17" t="str">
        <f aca="false">IF(OR($O298="",$P298=""),"",IFERROR(_xlfn.SWITCH($L298,"M1",Aannames!$B$10,"M2",Aannames!$B$10+($O298-Aannames!$B$10)*Aannames!$B$12,"M3",Aannames!$B$10+($O298-Aannames!$B$10)*(Aannames!$B$12+Aannames!$B$13),"M4",$O298),0)+($O298-IFERROR(_xlfn.SWITCH($L298,"M1",Aannames!$B$10,"M2",Aannames!$B$10+($O298-Aannames!$B$10)*Aannames!$B$12,"M3",Aannames!$B$10+($O298-Aannames!$B$10)*(Aannames!$B$12+Aannames!$B$13),"M4",$O298),0))*$P298)</f>
        <v/>
      </c>
      <c r="U298" s="15"/>
    </row>
    <row r="299" customFormat="false" ht="15" hidden="false" customHeight="false" outlineLevel="0" collapsed="false">
      <c r="I299" s="15"/>
      <c r="N299" s="16"/>
      <c r="O299" s="17" t="str">
        <f aca="false">IF(OR($N299="",$N299=0),"",MAX(MIN($N299,Aannames!$B$5)*Aannames!$C$5+MAX(0,MIN($N299,Aannames!$B$6)-Aannames!$B$5)*Aannames!$C$6+MAX(0,MIN($N299,Aannames!$B$7)-Aannames!$B$6)*Aannames!$C$7+MAX(0,$N299-Aannames!$B$7)*Aannames!$C$8,Aannames!$B$9)+Aannames!$B$10)</f>
        <v/>
      </c>
      <c r="P299" s="18" t="str">
        <f aca="false">IF($L299="","",IFERROR(_xlfn.SWITCH($L299,"M1",Aannames!$B$16,"M2",Aannames!$B$17,"M3",Aannames!$B$18,"M4",Aannames!$B$19),""))</f>
        <v/>
      </c>
      <c r="Q299" s="17" t="str">
        <f aca="false">IF(OR($O299="",$P299=""),"",IFERROR(_xlfn.SWITCH($L299,"M1",Aannames!$B$10,"M2",Aannames!$B$10+($O299-Aannames!$B$10)*Aannames!$B$12,"M3",Aannames!$B$10+($O299-Aannames!$B$10)*(Aannames!$B$12+Aannames!$B$13),"M4",$O299),0)+($O299-IFERROR(_xlfn.SWITCH($L299,"M1",Aannames!$B$10,"M2",Aannames!$B$10+($O299-Aannames!$B$10)*Aannames!$B$12,"M3",Aannames!$B$10+($O299-Aannames!$B$10)*(Aannames!$B$12+Aannames!$B$13),"M4",$O299),0))*$P299)</f>
        <v/>
      </c>
      <c r="U299" s="15"/>
    </row>
    <row r="300" customFormat="false" ht="15" hidden="false" customHeight="false" outlineLevel="0" collapsed="false">
      <c r="I300" s="15"/>
      <c r="N300" s="16"/>
      <c r="O300" s="17" t="str">
        <f aca="false">IF(OR($N300="",$N300=0),"",MAX(MIN($N300,Aannames!$B$5)*Aannames!$C$5+MAX(0,MIN($N300,Aannames!$B$6)-Aannames!$B$5)*Aannames!$C$6+MAX(0,MIN($N300,Aannames!$B$7)-Aannames!$B$6)*Aannames!$C$7+MAX(0,$N300-Aannames!$B$7)*Aannames!$C$8,Aannames!$B$9)+Aannames!$B$10)</f>
        <v/>
      </c>
      <c r="P300" s="18" t="str">
        <f aca="false">IF($L300="","",IFERROR(_xlfn.SWITCH($L300,"M1",Aannames!$B$16,"M2",Aannames!$B$17,"M3",Aannames!$B$18,"M4",Aannames!$B$19),""))</f>
        <v/>
      </c>
      <c r="Q300" s="17" t="str">
        <f aca="false">IF(OR($O300="",$P300=""),"",IFERROR(_xlfn.SWITCH($L300,"M1",Aannames!$B$10,"M2",Aannames!$B$10+($O300-Aannames!$B$10)*Aannames!$B$12,"M3",Aannames!$B$10+($O300-Aannames!$B$10)*(Aannames!$B$12+Aannames!$B$13),"M4",$O300),0)+($O300-IFERROR(_xlfn.SWITCH($L300,"M1",Aannames!$B$10,"M2",Aannames!$B$10+($O300-Aannames!$B$10)*Aannames!$B$12,"M3",Aannames!$B$10+($O300-Aannames!$B$10)*(Aannames!$B$12+Aannames!$B$13),"M4",$O300),0))*$P300)</f>
        <v/>
      </c>
      <c r="U300" s="15"/>
    </row>
    <row r="301" customFormat="false" ht="15" hidden="false" customHeight="false" outlineLevel="0" collapsed="false">
      <c r="I301" s="15"/>
      <c r="N301" s="16"/>
      <c r="O301" s="17" t="str">
        <f aca="false">IF(OR($N301="",$N301=0),"",MAX(MIN($N301,Aannames!$B$5)*Aannames!$C$5+MAX(0,MIN($N301,Aannames!$B$6)-Aannames!$B$5)*Aannames!$C$6+MAX(0,MIN($N301,Aannames!$B$7)-Aannames!$B$6)*Aannames!$C$7+MAX(0,$N301-Aannames!$B$7)*Aannames!$C$8,Aannames!$B$9)+Aannames!$B$10)</f>
        <v/>
      </c>
      <c r="P301" s="18" t="str">
        <f aca="false">IF($L301="","",IFERROR(_xlfn.SWITCH($L301,"M1",Aannames!$B$16,"M2",Aannames!$B$17,"M3",Aannames!$B$18,"M4",Aannames!$B$19),""))</f>
        <v/>
      </c>
      <c r="Q301" s="17" t="str">
        <f aca="false">IF(OR($O301="",$P301=""),"",IFERROR(_xlfn.SWITCH($L301,"M1",Aannames!$B$10,"M2",Aannames!$B$10+($O301-Aannames!$B$10)*Aannames!$B$12,"M3",Aannames!$B$10+($O301-Aannames!$B$10)*(Aannames!$B$12+Aannames!$B$13),"M4",$O301),0)+($O301-IFERROR(_xlfn.SWITCH($L301,"M1",Aannames!$B$10,"M2",Aannames!$B$10+($O301-Aannames!$B$10)*Aannames!$B$12,"M3",Aannames!$B$10+($O301-Aannames!$B$10)*(Aannames!$B$12+Aannames!$B$13),"M4",$O301),0))*$P301)</f>
        <v/>
      </c>
      <c r="U301" s="15"/>
    </row>
    <row r="302" customFormat="false" ht="15" hidden="false" customHeight="false" outlineLevel="0" collapsed="false">
      <c r="I302" s="15"/>
      <c r="N302" s="16"/>
      <c r="O302" s="17" t="str">
        <f aca="false">IF(OR($N302="",$N302=0),"",MAX(MIN($N302,Aannames!$B$5)*Aannames!$C$5+MAX(0,MIN($N302,Aannames!$B$6)-Aannames!$B$5)*Aannames!$C$6+MAX(0,MIN($N302,Aannames!$B$7)-Aannames!$B$6)*Aannames!$C$7+MAX(0,$N302-Aannames!$B$7)*Aannames!$C$8,Aannames!$B$9)+Aannames!$B$10)</f>
        <v/>
      </c>
      <c r="P302" s="18" t="str">
        <f aca="false">IF($L302="","",IFERROR(_xlfn.SWITCH($L302,"M1",Aannames!$B$16,"M2",Aannames!$B$17,"M3",Aannames!$B$18,"M4",Aannames!$B$19),""))</f>
        <v/>
      </c>
      <c r="Q302" s="17" t="str">
        <f aca="false">IF(OR($O302="",$P302=""),"",IFERROR(_xlfn.SWITCH($L302,"M1",Aannames!$B$10,"M2",Aannames!$B$10+($O302-Aannames!$B$10)*Aannames!$B$12,"M3",Aannames!$B$10+($O302-Aannames!$B$10)*(Aannames!$B$12+Aannames!$B$13),"M4",$O302),0)+($O302-IFERROR(_xlfn.SWITCH($L302,"M1",Aannames!$B$10,"M2",Aannames!$B$10+($O302-Aannames!$B$10)*Aannames!$B$12,"M3",Aannames!$B$10+($O302-Aannames!$B$10)*(Aannames!$B$12+Aannames!$B$13),"M4",$O302),0))*$P302)</f>
        <v/>
      </c>
      <c r="U302" s="15"/>
    </row>
    <row r="303" customFormat="false" ht="15" hidden="false" customHeight="false" outlineLevel="0" collapsed="false">
      <c r="I303" s="15"/>
      <c r="N303" s="16"/>
      <c r="O303" s="17" t="str">
        <f aca="false">IF(OR($N303="",$N303=0),"",MAX(MIN($N303,Aannames!$B$5)*Aannames!$C$5+MAX(0,MIN($N303,Aannames!$B$6)-Aannames!$B$5)*Aannames!$C$6+MAX(0,MIN($N303,Aannames!$B$7)-Aannames!$B$6)*Aannames!$C$7+MAX(0,$N303-Aannames!$B$7)*Aannames!$C$8,Aannames!$B$9)+Aannames!$B$10)</f>
        <v/>
      </c>
      <c r="P303" s="18" t="str">
        <f aca="false">IF($L303="","",IFERROR(_xlfn.SWITCH($L303,"M1",Aannames!$B$16,"M2",Aannames!$B$17,"M3",Aannames!$B$18,"M4",Aannames!$B$19),""))</f>
        <v/>
      </c>
      <c r="Q303" s="17" t="str">
        <f aca="false">IF(OR($O303="",$P303=""),"",IFERROR(_xlfn.SWITCH($L303,"M1",Aannames!$B$10,"M2",Aannames!$B$10+($O303-Aannames!$B$10)*Aannames!$B$12,"M3",Aannames!$B$10+($O303-Aannames!$B$10)*(Aannames!$B$12+Aannames!$B$13),"M4",$O303),0)+($O303-IFERROR(_xlfn.SWITCH($L303,"M1",Aannames!$B$10,"M2",Aannames!$B$10+($O303-Aannames!$B$10)*Aannames!$B$12,"M3",Aannames!$B$10+($O303-Aannames!$B$10)*(Aannames!$B$12+Aannames!$B$13),"M4",$O303),0))*$P303)</f>
        <v/>
      </c>
      <c r="U303" s="15"/>
    </row>
    <row r="304" customFormat="false" ht="15" hidden="false" customHeight="false" outlineLevel="0" collapsed="false">
      <c r="I304" s="15"/>
      <c r="N304" s="16"/>
      <c r="O304" s="17" t="str">
        <f aca="false">IF(OR($N304="",$N304=0),"",MAX(MIN($N304,Aannames!$B$5)*Aannames!$C$5+MAX(0,MIN($N304,Aannames!$B$6)-Aannames!$B$5)*Aannames!$C$6+MAX(0,MIN($N304,Aannames!$B$7)-Aannames!$B$6)*Aannames!$C$7+MAX(0,$N304-Aannames!$B$7)*Aannames!$C$8,Aannames!$B$9)+Aannames!$B$10)</f>
        <v/>
      </c>
      <c r="P304" s="18" t="str">
        <f aca="false">IF($L304="","",IFERROR(_xlfn.SWITCH($L304,"M1",Aannames!$B$16,"M2",Aannames!$B$17,"M3",Aannames!$B$18,"M4",Aannames!$B$19),""))</f>
        <v/>
      </c>
      <c r="Q304" s="17" t="str">
        <f aca="false">IF(OR($O304="",$P304=""),"",IFERROR(_xlfn.SWITCH($L304,"M1",Aannames!$B$10,"M2",Aannames!$B$10+($O304-Aannames!$B$10)*Aannames!$B$12,"M3",Aannames!$B$10+($O304-Aannames!$B$10)*(Aannames!$B$12+Aannames!$B$13),"M4",$O304),0)+($O304-IFERROR(_xlfn.SWITCH($L304,"M1",Aannames!$B$10,"M2",Aannames!$B$10+($O304-Aannames!$B$10)*Aannames!$B$12,"M3",Aannames!$B$10+($O304-Aannames!$B$10)*(Aannames!$B$12+Aannames!$B$13),"M4",$O304),0))*$P304)</f>
        <v/>
      </c>
      <c r="U304" s="15"/>
    </row>
    <row r="305" customFormat="false" ht="15" hidden="false" customHeight="false" outlineLevel="0" collapsed="false">
      <c r="I305" s="15"/>
      <c r="N305" s="16"/>
      <c r="O305" s="17" t="str">
        <f aca="false">IF(OR($N305="",$N305=0),"",MAX(MIN($N305,Aannames!$B$5)*Aannames!$C$5+MAX(0,MIN($N305,Aannames!$B$6)-Aannames!$B$5)*Aannames!$C$6+MAX(0,MIN($N305,Aannames!$B$7)-Aannames!$B$6)*Aannames!$C$7+MAX(0,$N305-Aannames!$B$7)*Aannames!$C$8,Aannames!$B$9)+Aannames!$B$10)</f>
        <v/>
      </c>
      <c r="P305" s="18" t="str">
        <f aca="false">IF($L305="","",IFERROR(_xlfn.SWITCH($L305,"M1",Aannames!$B$16,"M2",Aannames!$B$17,"M3",Aannames!$B$18,"M4",Aannames!$B$19),""))</f>
        <v/>
      </c>
      <c r="Q305" s="17" t="str">
        <f aca="false">IF(OR($O305="",$P305=""),"",IFERROR(_xlfn.SWITCH($L305,"M1",Aannames!$B$10,"M2",Aannames!$B$10+($O305-Aannames!$B$10)*Aannames!$B$12,"M3",Aannames!$B$10+($O305-Aannames!$B$10)*(Aannames!$B$12+Aannames!$B$13),"M4",$O305),0)+($O305-IFERROR(_xlfn.SWITCH($L305,"M1",Aannames!$B$10,"M2",Aannames!$B$10+($O305-Aannames!$B$10)*Aannames!$B$12,"M3",Aannames!$B$10+($O305-Aannames!$B$10)*(Aannames!$B$12+Aannames!$B$13),"M4",$O305),0))*$P305)</f>
        <v/>
      </c>
      <c r="U305" s="15"/>
    </row>
    <row r="306" customFormat="false" ht="15" hidden="false" customHeight="false" outlineLevel="0" collapsed="false">
      <c r="I306" s="15"/>
      <c r="N306" s="16"/>
      <c r="O306" s="17" t="str">
        <f aca="false">IF(OR($N306="",$N306=0),"",MAX(MIN($N306,Aannames!$B$5)*Aannames!$C$5+MAX(0,MIN($N306,Aannames!$B$6)-Aannames!$B$5)*Aannames!$C$6+MAX(0,MIN($N306,Aannames!$B$7)-Aannames!$B$6)*Aannames!$C$7+MAX(0,$N306-Aannames!$B$7)*Aannames!$C$8,Aannames!$B$9)+Aannames!$B$10)</f>
        <v/>
      </c>
      <c r="P306" s="18" t="str">
        <f aca="false">IF($L306="","",IFERROR(_xlfn.SWITCH($L306,"M1",Aannames!$B$16,"M2",Aannames!$B$17,"M3",Aannames!$B$18,"M4",Aannames!$B$19),""))</f>
        <v/>
      </c>
      <c r="Q306" s="17" t="str">
        <f aca="false">IF(OR($O306="",$P306=""),"",IFERROR(_xlfn.SWITCH($L306,"M1",Aannames!$B$10,"M2",Aannames!$B$10+($O306-Aannames!$B$10)*Aannames!$B$12,"M3",Aannames!$B$10+($O306-Aannames!$B$10)*(Aannames!$B$12+Aannames!$B$13),"M4",$O306),0)+($O306-IFERROR(_xlfn.SWITCH($L306,"M1",Aannames!$B$10,"M2",Aannames!$B$10+($O306-Aannames!$B$10)*Aannames!$B$12,"M3",Aannames!$B$10+($O306-Aannames!$B$10)*(Aannames!$B$12+Aannames!$B$13),"M4",$O306),0))*$P306)</f>
        <v/>
      </c>
      <c r="U306" s="15"/>
    </row>
    <row r="307" customFormat="false" ht="15" hidden="false" customHeight="false" outlineLevel="0" collapsed="false">
      <c r="I307" s="15"/>
      <c r="N307" s="16"/>
      <c r="O307" s="17" t="str">
        <f aca="false">IF(OR($N307="",$N307=0),"",MAX(MIN($N307,Aannames!$B$5)*Aannames!$C$5+MAX(0,MIN($N307,Aannames!$B$6)-Aannames!$B$5)*Aannames!$C$6+MAX(0,MIN($N307,Aannames!$B$7)-Aannames!$B$6)*Aannames!$C$7+MAX(0,$N307-Aannames!$B$7)*Aannames!$C$8,Aannames!$B$9)+Aannames!$B$10)</f>
        <v/>
      </c>
      <c r="P307" s="18" t="str">
        <f aca="false">IF($L307="","",IFERROR(_xlfn.SWITCH($L307,"M1",Aannames!$B$16,"M2",Aannames!$B$17,"M3",Aannames!$B$18,"M4",Aannames!$B$19),""))</f>
        <v/>
      </c>
      <c r="Q307" s="17" t="str">
        <f aca="false">IF(OR($O307="",$P307=""),"",IFERROR(_xlfn.SWITCH($L307,"M1",Aannames!$B$10,"M2",Aannames!$B$10+($O307-Aannames!$B$10)*Aannames!$B$12,"M3",Aannames!$B$10+($O307-Aannames!$B$10)*(Aannames!$B$12+Aannames!$B$13),"M4",$O307),0)+($O307-IFERROR(_xlfn.SWITCH($L307,"M1",Aannames!$B$10,"M2",Aannames!$B$10+($O307-Aannames!$B$10)*Aannames!$B$12,"M3",Aannames!$B$10+($O307-Aannames!$B$10)*(Aannames!$B$12+Aannames!$B$13),"M4",$O307),0))*$P307)</f>
        <v/>
      </c>
      <c r="U307" s="15"/>
    </row>
    <row r="308" customFormat="false" ht="15" hidden="false" customHeight="false" outlineLevel="0" collapsed="false">
      <c r="I308" s="15"/>
      <c r="N308" s="16"/>
      <c r="O308" s="17" t="str">
        <f aca="false">IF(OR($N308="",$N308=0),"",MAX(MIN($N308,Aannames!$B$5)*Aannames!$C$5+MAX(0,MIN($N308,Aannames!$B$6)-Aannames!$B$5)*Aannames!$C$6+MAX(0,MIN($N308,Aannames!$B$7)-Aannames!$B$6)*Aannames!$C$7+MAX(0,$N308-Aannames!$B$7)*Aannames!$C$8,Aannames!$B$9)+Aannames!$B$10)</f>
        <v/>
      </c>
      <c r="P308" s="18" t="str">
        <f aca="false">IF($L308="","",IFERROR(_xlfn.SWITCH($L308,"M1",Aannames!$B$16,"M2",Aannames!$B$17,"M3",Aannames!$B$18,"M4",Aannames!$B$19),""))</f>
        <v/>
      </c>
      <c r="Q308" s="17" t="str">
        <f aca="false">IF(OR($O308="",$P308=""),"",IFERROR(_xlfn.SWITCH($L308,"M1",Aannames!$B$10,"M2",Aannames!$B$10+($O308-Aannames!$B$10)*Aannames!$B$12,"M3",Aannames!$B$10+($O308-Aannames!$B$10)*(Aannames!$B$12+Aannames!$B$13),"M4",$O308),0)+($O308-IFERROR(_xlfn.SWITCH($L308,"M1",Aannames!$B$10,"M2",Aannames!$B$10+($O308-Aannames!$B$10)*Aannames!$B$12,"M3",Aannames!$B$10+($O308-Aannames!$B$10)*(Aannames!$B$12+Aannames!$B$13),"M4",$O308),0))*$P308)</f>
        <v/>
      </c>
      <c r="U308" s="15"/>
    </row>
    <row r="309" customFormat="false" ht="15" hidden="false" customHeight="false" outlineLevel="0" collapsed="false">
      <c r="I309" s="15"/>
      <c r="N309" s="16"/>
      <c r="O309" s="17" t="str">
        <f aca="false">IF(OR($N309="",$N309=0),"",MAX(MIN($N309,Aannames!$B$5)*Aannames!$C$5+MAX(0,MIN($N309,Aannames!$B$6)-Aannames!$B$5)*Aannames!$C$6+MAX(0,MIN($N309,Aannames!$B$7)-Aannames!$B$6)*Aannames!$C$7+MAX(0,$N309-Aannames!$B$7)*Aannames!$C$8,Aannames!$B$9)+Aannames!$B$10)</f>
        <v/>
      </c>
      <c r="P309" s="18" t="str">
        <f aca="false">IF($L309="","",IFERROR(_xlfn.SWITCH($L309,"M1",Aannames!$B$16,"M2",Aannames!$B$17,"M3",Aannames!$B$18,"M4",Aannames!$B$19),""))</f>
        <v/>
      </c>
      <c r="Q309" s="17" t="str">
        <f aca="false">IF(OR($O309="",$P309=""),"",IFERROR(_xlfn.SWITCH($L309,"M1",Aannames!$B$10,"M2",Aannames!$B$10+($O309-Aannames!$B$10)*Aannames!$B$12,"M3",Aannames!$B$10+($O309-Aannames!$B$10)*(Aannames!$B$12+Aannames!$B$13),"M4",$O309),0)+($O309-IFERROR(_xlfn.SWITCH($L309,"M1",Aannames!$B$10,"M2",Aannames!$B$10+($O309-Aannames!$B$10)*Aannames!$B$12,"M3",Aannames!$B$10+($O309-Aannames!$B$10)*(Aannames!$B$12+Aannames!$B$13),"M4",$O309),0))*$P309)</f>
        <v/>
      </c>
      <c r="U309" s="15"/>
    </row>
    <row r="310" customFormat="false" ht="15" hidden="false" customHeight="false" outlineLevel="0" collapsed="false">
      <c r="I310" s="15"/>
      <c r="N310" s="16"/>
      <c r="O310" s="17" t="str">
        <f aca="false">IF(OR($N310="",$N310=0),"",MAX(MIN($N310,Aannames!$B$5)*Aannames!$C$5+MAX(0,MIN($N310,Aannames!$B$6)-Aannames!$B$5)*Aannames!$C$6+MAX(0,MIN($N310,Aannames!$B$7)-Aannames!$B$6)*Aannames!$C$7+MAX(0,$N310-Aannames!$B$7)*Aannames!$C$8,Aannames!$B$9)+Aannames!$B$10)</f>
        <v/>
      </c>
      <c r="P310" s="18" t="str">
        <f aca="false">IF($L310="","",IFERROR(_xlfn.SWITCH($L310,"M1",Aannames!$B$16,"M2",Aannames!$B$17,"M3",Aannames!$B$18,"M4",Aannames!$B$19),""))</f>
        <v/>
      </c>
      <c r="Q310" s="17" t="str">
        <f aca="false">IF(OR($O310="",$P310=""),"",IFERROR(_xlfn.SWITCH($L310,"M1",Aannames!$B$10,"M2",Aannames!$B$10+($O310-Aannames!$B$10)*Aannames!$B$12,"M3",Aannames!$B$10+($O310-Aannames!$B$10)*(Aannames!$B$12+Aannames!$B$13),"M4",$O310),0)+($O310-IFERROR(_xlfn.SWITCH($L310,"M1",Aannames!$B$10,"M2",Aannames!$B$10+($O310-Aannames!$B$10)*Aannames!$B$12,"M3",Aannames!$B$10+($O310-Aannames!$B$10)*(Aannames!$B$12+Aannames!$B$13),"M4",$O310),0))*$P310)</f>
        <v/>
      </c>
      <c r="U310" s="15"/>
    </row>
    <row r="311" customFormat="false" ht="15" hidden="false" customHeight="false" outlineLevel="0" collapsed="false">
      <c r="I311" s="15"/>
      <c r="N311" s="16"/>
      <c r="O311" s="17" t="str">
        <f aca="false">IF(OR($N311="",$N311=0),"",MAX(MIN($N311,Aannames!$B$5)*Aannames!$C$5+MAX(0,MIN($N311,Aannames!$B$6)-Aannames!$B$5)*Aannames!$C$6+MAX(0,MIN($N311,Aannames!$B$7)-Aannames!$B$6)*Aannames!$C$7+MAX(0,$N311-Aannames!$B$7)*Aannames!$C$8,Aannames!$B$9)+Aannames!$B$10)</f>
        <v/>
      </c>
      <c r="P311" s="18" t="str">
        <f aca="false">IF($L311="","",IFERROR(_xlfn.SWITCH($L311,"M1",Aannames!$B$16,"M2",Aannames!$B$17,"M3",Aannames!$B$18,"M4",Aannames!$B$19),""))</f>
        <v/>
      </c>
      <c r="Q311" s="17" t="str">
        <f aca="false">IF(OR($O311="",$P311=""),"",IFERROR(_xlfn.SWITCH($L311,"M1",Aannames!$B$10,"M2",Aannames!$B$10+($O311-Aannames!$B$10)*Aannames!$B$12,"M3",Aannames!$B$10+($O311-Aannames!$B$10)*(Aannames!$B$12+Aannames!$B$13),"M4",$O311),0)+($O311-IFERROR(_xlfn.SWITCH($L311,"M1",Aannames!$B$10,"M2",Aannames!$B$10+($O311-Aannames!$B$10)*Aannames!$B$12,"M3",Aannames!$B$10+($O311-Aannames!$B$10)*(Aannames!$B$12+Aannames!$B$13),"M4",$O311),0))*$P311)</f>
        <v/>
      </c>
      <c r="U311" s="15"/>
    </row>
    <row r="312" customFormat="false" ht="15" hidden="false" customHeight="false" outlineLevel="0" collapsed="false">
      <c r="I312" s="15"/>
      <c r="N312" s="16"/>
      <c r="O312" s="17" t="str">
        <f aca="false">IF(OR($N312="",$N312=0),"",MAX(MIN($N312,Aannames!$B$5)*Aannames!$C$5+MAX(0,MIN($N312,Aannames!$B$6)-Aannames!$B$5)*Aannames!$C$6+MAX(0,MIN($N312,Aannames!$B$7)-Aannames!$B$6)*Aannames!$C$7+MAX(0,$N312-Aannames!$B$7)*Aannames!$C$8,Aannames!$B$9)+Aannames!$B$10)</f>
        <v/>
      </c>
      <c r="P312" s="18" t="str">
        <f aca="false">IF($L312="","",IFERROR(_xlfn.SWITCH($L312,"M1",Aannames!$B$16,"M2",Aannames!$B$17,"M3",Aannames!$B$18,"M4",Aannames!$B$19),""))</f>
        <v/>
      </c>
      <c r="Q312" s="17" t="str">
        <f aca="false">IF(OR($O312="",$P312=""),"",IFERROR(_xlfn.SWITCH($L312,"M1",Aannames!$B$10,"M2",Aannames!$B$10+($O312-Aannames!$B$10)*Aannames!$B$12,"M3",Aannames!$B$10+($O312-Aannames!$B$10)*(Aannames!$B$12+Aannames!$B$13),"M4",$O312),0)+($O312-IFERROR(_xlfn.SWITCH($L312,"M1",Aannames!$B$10,"M2",Aannames!$B$10+($O312-Aannames!$B$10)*Aannames!$B$12,"M3",Aannames!$B$10+($O312-Aannames!$B$10)*(Aannames!$B$12+Aannames!$B$13),"M4",$O312),0))*$P312)</f>
        <v/>
      </c>
      <c r="U312" s="15"/>
    </row>
    <row r="313" customFormat="false" ht="15" hidden="false" customHeight="false" outlineLevel="0" collapsed="false">
      <c r="I313" s="15"/>
      <c r="N313" s="16"/>
      <c r="O313" s="17" t="str">
        <f aca="false">IF(OR($N313="",$N313=0),"",MAX(MIN($N313,Aannames!$B$5)*Aannames!$C$5+MAX(0,MIN($N313,Aannames!$B$6)-Aannames!$B$5)*Aannames!$C$6+MAX(0,MIN($N313,Aannames!$B$7)-Aannames!$B$6)*Aannames!$C$7+MAX(0,$N313-Aannames!$B$7)*Aannames!$C$8,Aannames!$B$9)+Aannames!$B$10)</f>
        <v/>
      </c>
      <c r="P313" s="18" t="str">
        <f aca="false">IF($L313="","",IFERROR(_xlfn.SWITCH($L313,"M1",Aannames!$B$16,"M2",Aannames!$B$17,"M3",Aannames!$B$18,"M4",Aannames!$B$19),""))</f>
        <v/>
      </c>
      <c r="Q313" s="17" t="str">
        <f aca="false">IF(OR($O313="",$P313=""),"",IFERROR(_xlfn.SWITCH($L313,"M1",Aannames!$B$10,"M2",Aannames!$B$10+($O313-Aannames!$B$10)*Aannames!$B$12,"M3",Aannames!$B$10+($O313-Aannames!$B$10)*(Aannames!$B$12+Aannames!$B$13),"M4",$O313),0)+($O313-IFERROR(_xlfn.SWITCH($L313,"M1",Aannames!$B$10,"M2",Aannames!$B$10+($O313-Aannames!$B$10)*Aannames!$B$12,"M3",Aannames!$B$10+($O313-Aannames!$B$10)*(Aannames!$B$12+Aannames!$B$13),"M4",$O313),0))*$P313)</f>
        <v/>
      </c>
      <c r="U313" s="15"/>
    </row>
    <row r="314" customFormat="false" ht="15" hidden="false" customHeight="false" outlineLevel="0" collapsed="false">
      <c r="I314" s="15"/>
      <c r="N314" s="16"/>
      <c r="O314" s="17" t="str">
        <f aca="false">IF(OR($N314="",$N314=0),"",MAX(MIN($N314,Aannames!$B$5)*Aannames!$C$5+MAX(0,MIN($N314,Aannames!$B$6)-Aannames!$B$5)*Aannames!$C$6+MAX(0,MIN($N314,Aannames!$B$7)-Aannames!$B$6)*Aannames!$C$7+MAX(0,$N314-Aannames!$B$7)*Aannames!$C$8,Aannames!$B$9)+Aannames!$B$10)</f>
        <v/>
      </c>
      <c r="P314" s="18" t="str">
        <f aca="false">IF($L314="","",IFERROR(_xlfn.SWITCH($L314,"M1",Aannames!$B$16,"M2",Aannames!$B$17,"M3",Aannames!$B$18,"M4",Aannames!$B$19),""))</f>
        <v/>
      </c>
      <c r="Q314" s="17" t="str">
        <f aca="false">IF(OR($O314="",$P314=""),"",IFERROR(_xlfn.SWITCH($L314,"M1",Aannames!$B$10,"M2",Aannames!$B$10+($O314-Aannames!$B$10)*Aannames!$B$12,"M3",Aannames!$B$10+($O314-Aannames!$B$10)*(Aannames!$B$12+Aannames!$B$13),"M4",$O314),0)+($O314-IFERROR(_xlfn.SWITCH($L314,"M1",Aannames!$B$10,"M2",Aannames!$B$10+($O314-Aannames!$B$10)*Aannames!$B$12,"M3",Aannames!$B$10+($O314-Aannames!$B$10)*(Aannames!$B$12+Aannames!$B$13),"M4",$O314),0))*$P314)</f>
        <v/>
      </c>
      <c r="U314" s="15"/>
    </row>
    <row r="315" customFormat="false" ht="15" hidden="false" customHeight="false" outlineLevel="0" collapsed="false">
      <c r="I315" s="15"/>
      <c r="N315" s="16"/>
      <c r="O315" s="17" t="str">
        <f aca="false">IF(OR($N315="",$N315=0),"",MAX(MIN($N315,Aannames!$B$5)*Aannames!$C$5+MAX(0,MIN($N315,Aannames!$B$6)-Aannames!$B$5)*Aannames!$C$6+MAX(0,MIN($N315,Aannames!$B$7)-Aannames!$B$6)*Aannames!$C$7+MAX(0,$N315-Aannames!$B$7)*Aannames!$C$8,Aannames!$B$9)+Aannames!$B$10)</f>
        <v/>
      </c>
      <c r="P315" s="18" t="str">
        <f aca="false">IF($L315="","",IFERROR(_xlfn.SWITCH($L315,"M1",Aannames!$B$16,"M2",Aannames!$B$17,"M3",Aannames!$B$18,"M4",Aannames!$B$19),""))</f>
        <v/>
      </c>
      <c r="Q315" s="17" t="str">
        <f aca="false">IF(OR($O315="",$P315=""),"",IFERROR(_xlfn.SWITCH($L315,"M1",Aannames!$B$10,"M2",Aannames!$B$10+($O315-Aannames!$B$10)*Aannames!$B$12,"M3",Aannames!$B$10+($O315-Aannames!$B$10)*(Aannames!$B$12+Aannames!$B$13),"M4",$O315),0)+($O315-IFERROR(_xlfn.SWITCH($L315,"M1",Aannames!$B$10,"M2",Aannames!$B$10+($O315-Aannames!$B$10)*Aannames!$B$12,"M3",Aannames!$B$10+($O315-Aannames!$B$10)*(Aannames!$B$12+Aannames!$B$13),"M4",$O315),0))*$P315)</f>
        <v/>
      </c>
      <c r="U315" s="15"/>
    </row>
    <row r="316" customFormat="false" ht="15" hidden="false" customHeight="false" outlineLevel="0" collapsed="false">
      <c r="I316" s="15"/>
      <c r="N316" s="16"/>
      <c r="O316" s="17" t="str">
        <f aca="false">IF(OR($N316="",$N316=0),"",MAX(MIN($N316,Aannames!$B$5)*Aannames!$C$5+MAX(0,MIN($N316,Aannames!$B$6)-Aannames!$B$5)*Aannames!$C$6+MAX(0,MIN($N316,Aannames!$B$7)-Aannames!$B$6)*Aannames!$C$7+MAX(0,$N316-Aannames!$B$7)*Aannames!$C$8,Aannames!$B$9)+Aannames!$B$10)</f>
        <v/>
      </c>
      <c r="P316" s="18" t="str">
        <f aca="false">IF($L316="","",IFERROR(_xlfn.SWITCH($L316,"M1",Aannames!$B$16,"M2",Aannames!$B$17,"M3",Aannames!$B$18,"M4",Aannames!$B$19),""))</f>
        <v/>
      </c>
      <c r="Q316" s="17" t="str">
        <f aca="false">IF(OR($O316="",$P316=""),"",IFERROR(_xlfn.SWITCH($L316,"M1",Aannames!$B$10,"M2",Aannames!$B$10+($O316-Aannames!$B$10)*Aannames!$B$12,"M3",Aannames!$B$10+($O316-Aannames!$B$10)*(Aannames!$B$12+Aannames!$B$13),"M4",$O316),0)+($O316-IFERROR(_xlfn.SWITCH($L316,"M1",Aannames!$B$10,"M2",Aannames!$B$10+($O316-Aannames!$B$10)*Aannames!$B$12,"M3",Aannames!$B$10+($O316-Aannames!$B$10)*(Aannames!$B$12+Aannames!$B$13),"M4",$O316),0))*$P316)</f>
        <v/>
      </c>
      <c r="U316" s="15"/>
    </row>
    <row r="317" customFormat="false" ht="15" hidden="false" customHeight="false" outlineLevel="0" collapsed="false">
      <c r="I317" s="15"/>
      <c r="N317" s="16"/>
      <c r="O317" s="17" t="str">
        <f aca="false">IF(OR($N317="",$N317=0),"",MAX(MIN($N317,Aannames!$B$5)*Aannames!$C$5+MAX(0,MIN($N317,Aannames!$B$6)-Aannames!$B$5)*Aannames!$C$6+MAX(0,MIN($N317,Aannames!$B$7)-Aannames!$B$6)*Aannames!$C$7+MAX(0,$N317-Aannames!$B$7)*Aannames!$C$8,Aannames!$B$9)+Aannames!$B$10)</f>
        <v/>
      </c>
      <c r="P317" s="18" t="str">
        <f aca="false">IF($L317="","",IFERROR(_xlfn.SWITCH($L317,"M1",Aannames!$B$16,"M2",Aannames!$B$17,"M3",Aannames!$B$18,"M4",Aannames!$B$19),""))</f>
        <v/>
      </c>
      <c r="Q317" s="17" t="str">
        <f aca="false">IF(OR($O317="",$P317=""),"",IFERROR(_xlfn.SWITCH($L317,"M1",Aannames!$B$10,"M2",Aannames!$B$10+($O317-Aannames!$B$10)*Aannames!$B$12,"M3",Aannames!$B$10+($O317-Aannames!$B$10)*(Aannames!$B$12+Aannames!$B$13),"M4",$O317),0)+($O317-IFERROR(_xlfn.SWITCH($L317,"M1",Aannames!$B$10,"M2",Aannames!$B$10+($O317-Aannames!$B$10)*Aannames!$B$12,"M3",Aannames!$B$10+($O317-Aannames!$B$10)*(Aannames!$B$12+Aannames!$B$13),"M4",$O317),0))*$P317)</f>
        <v/>
      </c>
      <c r="U317" s="15"/>
    </row>
    <row r="318" customFormat="false" ht="15" hidden="false" customHeight="false" outlineLevel="0" collapsed="false">
      <c r="I318" s="15"/>
      <c r="N318" s="16"/>
      <c r="O318" s="17" t="str">
        <f aca="false">IF(OR($N318="",$N318=0),"",MAX(MIN($N318,Aannames!$B$5)*Aannames!$C$5+MAX(0,MIN($N318,Aannames!$B$6)-Aannames!$B$5)*Aannames!$C$6+MAX(0,MIN($N318,Aannames!$B$7)-Aannames!$B$6)*Aannames!$C$7+MAX(0,$N318-Aannames!$B$7)*Aannames!$C$8,Aannames!$B$9)+Aannames!$B$10)</f>
        <v/>
      </c>
      <c r="P318" s="18" t="str">
        <f aca="false">IF($L318="","",IFERROR(_xlfn.SWITCH($L318,"M1",Aannames!$B$16,"M2",Aannames!$B$17,"M3",Aannames!$B$18,"M4",Aannames!$B$19),""))</f>
        <v/>
      </c>
      <c r="Q318" s="17" t="str">
        <f aca="false">IF(OR($O318="",$P318=""),"",IFERROR(_xlfn.SWITCH($L318,"M1",Aannames!$B$10,"M2",Aannames!$B$10+($O318-Aannames!$B$10)*Aannames!$B$12,"M3",Aannames!$B$10+($O318-Aannames!$B$10)*(Aannames!$B$12+Aannames!$B$13),"M4",$O318),0)+($O318-IFERROR(_xlfn.SWITCH($L318,"M1",Aannames!$B$10,"M2",Aannames!$B$10+($O318-Aannames!$B$10)*Aannames!$B$12,"M3",Aannames!$B$10+($O318-Aannames!$B$10)*(Aannames!$B$12+Aannames!$B$13),"M4",$O318),0))*$P318)</f>
        <v/>
      </c>
      <c r="U318" s="15"/>
    </row>
    <row r="319" customFormat="false" ht="15" hidden="false" customHeight="false" outlineLevel="0" collapsed="false">
      <c r="I319" s="15"/>
      <c r="N319" s="16"/>
      <c r="O319" s="17" t="str">
        <f aca="false">IF(OR($N319="",$N319=0),"",MAX(MIN($N319,Aannames!$B$5)*Aannames!$C$5+MAX(0,MIN($N319,Aannames!$B$6)-Aannames!$B$5)*Aannames!$C$6+MAX(0,MIN($N319,Aannames!$B$7)-Aannames!$B$6)*Aannames!$C$7+MAX(0,$N319-Aannames!$B$7)*Aannames!$C$8,Aannames!$B$9)+Aannames!$B$10)</f>
        <v/>
      </c>
      <c r="P319" s="18" t="str">
        <f aca="false">IF($L319="","",IFERROR(_xlfn.SWITCH($L319,"M1",Aannames!$B$16,"M2",Aannames!$B$17,"M3",Aannames!$B$18,"M4",Aannames!$B$19),""))</f>
        <v/>
      </c>
      <c r="Q319" s="17" t="str">
        <f aca="false">IF(OR($O319="",$P319=""),"",IFERROR(_xlfn.SWITCH($L319,"M1",Aannames!$B$10,"M2",Aannames!$B$10+($O319-Aannames!$B$10)*Aannames!$B$12,"M3",Aannames!$B$10+($O319-Aannames!$B$10)*(Aannames!$B$12+Aannames!$B$13),"M4",$O319),0)+($O319-IFERROR(_xlfn.SWITCH($L319,"M1",Aannames!$B$10,"M2",Aannames!$B$10+($O319-Aannames!$B$10)*Aannames!$B$12,"M3",Aannames!$B$10+($O319-Aannames!$B$10)*(Aannames!$B$12+Aannames!$B$13),"M4",$O319),0))*$P319)</f>
        <v/>
      </c>
      <c r="U319" s="15"/>
    </row>
    <row r="320" customFormat="false" ht="15" hidden="false" customHeight="false" outlineLevel="0" collapsed="false">
      <c r="I320" s="15"/>
      <c r="N320" s="16"/>
      <c r="O320" s="17" t="str">
        <f aca="false">IF(OR($N320="",$N320=0),"",MAX(MIN($N320,Aannames!$B$5)*Aannames!$C$5+MAX(0,MIN($N320,Aannames!$B$6)-Aannames!$B$5)*Aannames!$C$6+MAX(0,MIN($N320,Aannames!$B$7)-Aannames!$B$6)*Aannames!$C$7+MAX(0,$N320-Aannames!$B$7)*Aannames!$C$8,Aannames!$B$9)+Aannames!$B$10)</f>
        <v/>
      </c>
      <c r="P320" s="18" t="str">
        <f aca="false">IF($L320="","",IFERROR(_xlfn.SWITCH($L320,"M1",Aannames!$B$16,"M2",Aannames!$B$17,"M3",Aannames!$B$18,"M4",Aannames!$B$19),""))</f>
        <v/>
      </c>
      <c r="Q320" s="17" t="str">
        <f aca="false">IF(OR($O320="",$P320=""),"",IFERROR(_xlfn.SWITCH($L320,"M1",Aannames!$B$10,"M2",Aannames!$B$10+($O320-Aannames!$B$10)*Aannames!$B$12,"M3",Aannames!$B$10+($O320-Aannames!$B$10)*(Aannames!$B$12+Aannames!$B$13),"M4",$O320),0)+($O320-IFERROR(_xlfn.SWITCH($L320,"M1",Aannames!$B$10,"M2",Aannames!$B$10+($O320-Aannames!$B$10)*Aannames!$B$12,"M3",Aannames!$B$10+($O320-Aannames!$B$10)*(Aannames!$B$12+Aannames!$B$13),"M4",$O320),0))*$P320)</f>
        <v/>
      </c>
      <c r="U320" s="15"/>
    </row>
    <row r="321" customFormat="false" ht="15" hidden="false" customHeight="false" outlineLevel="0" collapsed="false">
      <c r="I321" s="15"/>
      <c r="N321" s="16"/>
      <c r="O321" s="17" t="str">
        <f aca="false">IF(OR($N321="",$N321=0),"",MAX(MIN($N321,Aannames!$B$5)*Aannames!$C$5+MAX(0,MIN($N321,Aannames!$B$6)-Aannames!$B$5)*Aannames!$C$6+MAX(0,MIN($N321,Aannames!$B$7)-Aannames!$B$6)*Aannames!$C$7+MAX(0,$N321-Aannames!$B$7)*Aannames!$C$8,Aannames!$B$9)+Aannames!$B$10)</f>
        <v/>
      </c>
      <c r="P321" s="18" t="str">
        <f aca="false">IF($L321="","",IFERROR(_xlfn.SWITCH($L321,"M1",Aannames!$B$16,"M2",Aannames!$B$17,"M3",Aannames!$B$18,"M4",Aannames!$B$19),""))</f>
        <v/>
      </c>
      <c r="Q321" s="17" t="str">
        <f aca="false">IF(OR($O321="",$P321=""),"",IFERROR(_xlfn.SWITCH($L321,"M1",Aannames!$B$10,"M2",Aannames!$B$10+($O321-Aannames!$B$10)*Aannames!$B$12,"M3",Aannames!$B$10+($O321-Aannames!$B$10)*(Aannames!$B$12+Aannames!$B$13),"M4",$O321),0)+($O321-IFERROR(_xlfn.SWITCH($L321,"M1",Aannames!$B$10,"M2",Aannames!$B$10+($O321-Aannames!$B$10)*Aannames!$B$12,"M3",Aannames!$B$10+($O321-Aannames!$B$10)*(Aannames!$B$12+Aannames!$B$13),"M4",$O321),0))*$P321)</f>
        <v/>
      </c>
      <c r="U321" s="15"/>
    </row>
    <row r="322" customFormat="false" ht="15" hidden="false" customHeight="false" outlineLevel="0" collapsed="false">
      <c r="I322" s="15"/>
      <c r="N322" s="16"/>
      <c r="O322" s="17" t="str">
        <f aca="false">IF(OR($N322="",$N322=0),"",MAX(MIN($N322,Aannames!$B$5)*Aannames!$C$5+MAX(0,MIN($N322,Aannames!$B$6)-Aannames!$B$5)*Aannames!$C$6+MAX(0,MIN($N322,Aannames!$B$7)-Aannames!$B$6)*Aannames!$C$7+MAX(0,$N322-Aannames!$B$7)*Aannames!$C$8,Aannames!$B$9)+Aannames!$B$10)</f>
        <v/>
      </c>
      <c r="P322" s="18" t="str">
        <f aca="false">IF($L322="","",IFERROR(_xlfn.SWITCH($L322,"M1",Aannames!$B$16,"M2",Aannames!$B$17,"M3",Aannames!$B$18,"M4",Aannames!$B$19),""))</f>
        <v/>
      </c>
      <c r="Q322" s="17" t="str">
        <f aca="false">IF(OR($O322="",$P322=""),"",IFERROR(_xlfn.SWITCH($L322,"M1",Aannames!$B$10,"M2",Aannames!$B$10+($O322-Aannames!$B$10)*Aannames!$B$12,"M3",Aannames!$B$10+($O322-Aannames!$B$10)*(Aannames!$B$12+Aannames!$B$13),"M4",$O322),0)+($O322-IFERROR(_xlfn.SWITCH($L322,"M1",Aannames!$B$10,"M2",Aannames!$B$10+($O322-Aannames!$B$10)*Aannames!$B$12,"M3",Aannames!$B$10+($O322-Aannames!$B$10)*(Aannames!$B$12+Aannames!$B$13),"M4",$O322),0))*$P322)</f>
        <v/>
      </c>
      <c r="U322" s="15"/>
    </row>
    <row r="323" customFormat="false" ht="15" hidden="false" customHeight="false" outlineLevel="0" collapsed="false">
      <c r="I323" s="15"/>
      <c r="N323" s="16"/>
      <c r="O323" s="17" t="str">
        <f aca="false">IF(OR($N323="",$N323=0),"",MAX(MIN($N323,Aannames!$B$5)*Aannames!$C$5+MAX(0,MIN($N323,Aannames!$B$6)-Aannames!$B$5)*Aannames!$C$6+MAX(0,MIN($N323,Aannames!$B$7)-Aannames!$B$6)*Aannames!$C$7+MAX(0,$N323-Aannames!$B$7)*Aannames!$C$8,Aannames!$B$9)+Aannames!$B$10)</f>
        <v/>
      </c>
      <c r="P323" s="18" t="str">
        <f aca="false">IF($L323="","",IFERROR(_xlfn.SWITCH($L323,"M1",Aannames!$B$16,"M2",Aannames!$B$17,"M3",Aannames!$B$18,"M4",Aannames!$B$19),""))</f>
        <v/>
      </c>
      <c r="Q323" s="17" t="str">
        <f aca="false">IF(OR($O323="",$P323=""),"",IFERROR(_xlfn.SWITCH($L323,"M1",Aannames!$B$10,"M2",Aannames!$B$10+($O323-Aannames!$B$10)*Aannames!$B$12,"M3",Aannames!$B$10+($O323-Aannames!$B$10)*(Aannames!$B$12+Aannames!$B$13),"M4",$O323),0)+($O323-IFERROR(_xlfn.SWITCH($L323,"M1",Aannames!$B$10,"M2",Aannames!$B$10+($O323-Aannames!$B$10)*Aannames!$B$12,"M3",Aannames!$B$10+($O323-Aannames!$B$10)*(Aannames!$B$12+Aannames!$B$13),"M4",$O323),0))*$P323)</f>
        <v/>
      </c>
      <c r="U323" s="15"/>
    </row>
    <row r="324" customFormat="false" ht="15" hidden="false" customHeight="false" outlineLevel="0" collapsed="false">
      <c r="I324" s="15"/>
      <c r="N324" s="16"/>
      <c r="O324" s="17" t="str">
        <f aca="false">IF(OR($N324="",$N324=0),"",MAX(MIN($N324,Aannames!$B$5)*Aannames!$C$5+MAX(0,MIN($N324,Aannames!$B$6)-Aannames!$B$5)*Aannames!$C$6+MAX(0,MIN($N324,Aannames!$B$7)-Aannames!$B$6)*Aannames!$C$7+MAX(0,$N324-Aannames!$B$7)*Aannames!$C$8,Aannames!$B$9)+Aannames!$B$10)</f>
        <v/>
      </c>
      <c r="P324" s="18" t="str">
        <f aca="false">IF($L324="","",IFERROR(_xlfn.SWITCH($L324,"M1",Aannames!$B$16,"M2",Aannames!$B$17,"M3",Aannames!$B$18,"M4",Aannames!$B$19),""))</f>
        <v/>
      </c>
      <c r="Q324" s="17" t="str">
        <f aca="false">IF(OR($O324="",$P324=""),"",IFERROR(_xlfn.SWITCH($L324,"M1",Aannames!$B$10,"M2",Aannames!$B$10+($O324-Aannames!$B$10)*Aannames!$B$12,"M3",Aannames!$B$10+($O324-Aannames!$B$10)*(Aannames!$B$12+Aannames!$B$13),"M4",$O324),0)+($O324-IFERROR(_xlfn.SWITCH($L324,"M1",Aannames!$B$10,"M2",Aannames!$B$10+($O324-Aannames!$B$10)*Aannames!$B$12,"M3",Aannames!$B$10+($O324-Aannames!$B$10)*(Aannames!$B$12+Aannames!$B$13),"M4",$O324),0))*$P324)</f>
        <v/>
      </c>
      <c r="U324" s="15"/>
    </row>
    <row r="325" customFormat="false" ht="15" hidden="false" customHeight="false" outlineLevel="0" collapsed="false">
      <c r="I325" s="15"/>
      <c r="N325" s="16"/>
      <c r="O325" s="17" t="str">
        <f aca="false">IF(OR($N325="",$N325=0),"",MAX(MIN($N325,Aannames!$B$5)*Aannames!$C$5+MAX(0,MIN($N325,Aannames!$B$6)-Aannames!$B$5)*Aannames!$C$6+MAX(0,MIN($N325,Aannames!$B$7)-Aannames!$B$6)*Aannames!$C$7+MAX(0,$N325-Aannames!$B$7)*Aannames!$C$8,Aannames!$B$9)+Aannames!$B$10)</f>
        <v/>
      </c>
      <c r="P325" s="18" t="str">
        <f aca="false">IF($L325="","",IFERROR(_xlfn.SWITCH($L325,"M1",Aannames!$B$16,"M2",Aannames!$B$17,"M3",Aannames!$B$18,"M4",Aannames!$B$19),""))</f>
        <v/>
      </c>
      <c r="Q325" s="17" t="str">
        <f aca="false">IF(OR($O325="",$P325=""),"",IFERROR(_xlfn.SWITCH($L325,"M1",Aannames!$B$10,"M2",Aannames!$B$10+($O325-Aannames!$B$10)*Aannames!$B$12,"M3",Aannames!$B$10+($O325-Aannames!$B$10)*(Aannames!$B$12+Aannames!$B$13),"M4",$O325),0)+($O325-IFERROR(_xlfn.SWITCH($L325,"M1",Aannames!$B$10,"M2",Aannames!$B$10+($O325-Aannames!$B$10)*Aannames!$B$12,"M3",Aannames!$B$10+($O325-Aannames!$B$10)*(Aannames!$B$12+Aannames!$B$13),"M4",$O325),0))*$P325)</f>
        <v/>
      </c>
      <c r="U325" s="15"/>
    </row>
    <row r="326" customFormat="false" ht="15" hidden="false" customHeight="false" outlineLevel="0" collapsed="false">
      <c r="I326" s="15"/>
      <c r="N326" s="16"/>
      <c r="O326" s="17" t="str">
        <f aca="false">IF(OR($N326="",$N326=0),"",MAX(MIN($N326,Aannames!$B$5)*Aannames!$C$5+MAX(0,MIN($N326,Aannames!$B$6)-Aannames!$B$5)*Aannames!$C$6+MAX(0,MIN($N326,Aannames!$B$7)-Aannames!$B$6)*Aannames!$C$7+MAX(0,$N326-Aannames!$B$7)*Aannames!$C$8,Aannames!$B$9)+Aannames!$B$10)</f>
        <v/>
      </c>
      <c r="P326" s="18" t="str">
        <f aca="false">IF($L326="","",IFERROR(_xlfn.SWITCH($L326,"M1",Aannames!$B$16,"M2",Aannames!$B$17,"M3",Aannames!$B$18,"M4",Aannames!$B$19),""))</f>
        <v/>
      </c>
      <c r="Q326" s="17" t="str">
        <f aca="false">IF(OR($O326="",$P326=""),"",IFERROR(_xlfn.SWITCH($L326,"M1",Aannames!$B$10,"M2",Aannames!$B$10+($O326-Aannames!$B$10)*Aannames!$B$12,"M3",Aannames!$B$10+($O326-Aannames!$B$10)*(Aannames!$B$12+Aannames!$B$13),"M4",$O326),0)+($O326-IFERROR(_xlfn.SWITCH($L326,"M1",Aannames!$B$10,"M2",Aannames!$B$10+($O326-Aannames!$B$10)*Aannames!$B$12,"M3",Aannames!$B$10+($O326-Aannames!$B$10)*(Aannames!$B$12+Aannames!$B$13),"M4",$O326),0))*$P326)</f>
        <v/>
      </c>
      <c r="U326" s="15"/>
    </row>
    <row r="327" customFormat="false" ht="15" hidden="false" customHeight="false" outlineLevel="0" collapsed="false">
      <c r="I327" s="15"/>
      <c r="N327" s="16"/>
      <c r="O327" s="17" t="str">
        <f aca="false">IF(OR($N327="",$N327=0),"",MAX(MIN($N327,Aannames!$B$5)*Aannames!$C$5+MAX(0,MIN($N327,Aannames!$B$6)-Aannames!$B$5)*Aannames!$C$6+MAX(0,MIN($N327,Aannames!$B$7)-Aannames!$B$6)*Aannames!$C$7+MAX(0,$N327-Aannames!$B$7)*Aannames!$C$8,Aannames!$B$9)+Aannames!$B$10)</f>
        <v/>
      </c>
      <c r="P327" s="18" t="str">
        <f aca="false">IF($L327="","",IFERROR(_xlfn.SWITCH($L327,"M1",Aannames!$B$16,"M2",Aannames!$B$17,"M3",Aannames!$B$18,"M4",Aannames!$B$19),""))</f>
        <v/>
      </c>
      <c r="Q327" s="17" t="str">
        <f aca="false">IF(OR($O327="",$P327=""),"",IFERROR(_xlfn.SWITCH($L327,"M1",Aannames!$B$10,"M2",Aannames!$B$10+($O327-Aannames!$B$10)*Aannames!$B$12,"M3",Aannames!$B$10+($O327-Aannames!$B$10)*(Aannames!$B$12+Aannames!$B$13),"M4",$O327),0)+($O327-IFERROR(_xlfn.SWITCH($L327,"M1",Aannames!$B$10,"M2",Aannames!$B$10+($O327-Aannames!$B$10)*Aannames!$B$12,"M3",Aannames!$B$10+($O327-Aannames!$B$10)*(Aannames!$B$12+Aannames!$B$13),"M4",$O327),0))*$P327)</f>
        <v/>
      </c>
      <c r="U327" s="15"/>
    </row>
    <row r="328" customFormat="false" ht="15" hidden="false" customHeight="false" outlineLevel="0" collapsed="false">
      <c r="I328" s="15"/>
      <c r="N328" s="16"/>
      <c r="O328" s="17" t="str">
        <f aca="false">IF(OR($N328="",$N328=0),"",MAX(MIN($N328,Aannames!$B$5)*Aannames!$C$5+MAX(0,MIN($N328,Aannames!$B$6)-Aannames!$B$5)*Aannames!$C$6+MAX(0,MIN($N328,Aannames!$B$7)-Aannames!$B$6)*Aannames!$C$7+MAX(0,$N328-Aannames!$B$7)*Aannames!$C$8,Aannames!$B$9)+Aannames!$B$10)</f>
        <v/>
      </c>
      <c r="P328" s="18" t="str">
        <f aca="false">IF($L328="","",IFERROR(_xlfn.SWITCH($L328,"M1",Aannames!$B$16,"M2",Aannames!$B$17,"M3",Aannames!$B$18,"M4",Aannames!$B$19),""))</f>
        <v/>
      </c>
      <c r="Q328" s="17" t="str">
        <f aca="false">IF(OR($O328="",$P328=""),"",IFERROR(_xlfn.SWITCH($L328,"M1",Aannames!$B$10,"M2",Aannames!$B$10+($O328-Aannames!$B$10)*Aannames!$B$12,"M3",Aannames!$B$10+($O328-Aannames!$B$10)*(Aannames!$B$12+Aannames!$B$13),"M4",$O328),0)+($O328-IFERROR(_xlfn.SWITCH($L328,"M1",Aannames!$B$10,"M2",Aannames!$B$10+($O328-Aannames!$B$10)*Aannames!$B$12,"M3",Aannames!$B$10+($O328-Aannames!$B$10)*(Aannames!$B$12+Aannames!$B$13),"M4",$O328),0))*$P328)</f>
        <v/>
      </c>
      <c r="U328" s="15"/>
    </row>
    <row r="329" customFormat="false" ht="15" hidden="false" customHeight="false" outlineLevel="0" collapsed="false">
      <c r="I329" s="15"/>
      <c r="N329" s="16"/>
      <c r="O329" s="17" t="str">
        <f aca="false">IF(OR($N329="",$N329=0),"",MAX(MIN($N329,Aannames!$B$5)*Aannames!$C$5+MAX(0,MIN($N329,Aannames!$B$6)-Aannames!$B$5)*Aannames!$C$6+MAX(0,MIN($N329,Aannames!$B$7)-Aannames!$B$6)*Aannames!$C$7+MAX(0,$N329-Aannames!$B$7)*Aannames!$C$8,Aannames!$B$9)+Aannames!$B$10)</f>
        <v/>
      </c>
      <c r="P329" s="18" t="str">
        <f aca="false">IF($L329="","",IFERROR(_xlfn.SWITCH($L329,"M1",Aannames!$B$16,"M2",Aannames!$B$17,"M3",Aannames!$B$18,"M4",Aannames!$B$19),""))</f>
        <v/>
      </c>
      <c r="Q329" s="17" t="str">
        <f aca="false">IF(OR($O329="",$P329=""),"",IFERROR(_xlfn.SWITCH($L329,"M1",Aannames!$B$10,"M2",Aannames!$B$10+($O329-Aannames!$B$10)*Aannames!$B$12,"M3",Aannames!$B$10+($O329-Aannames!$B$10)*(Aannames!$B$12+Aannames!$B$13),"M4",$O329),0)+($O329-IFERROR(_xlfn.SWITCH($L329,"M1",Aannames!$B$10,"M2",Aannames!$B$10+($O329-Aannames!$B$10)*Aannames!$B$12,"M3",Aannames!$B$10+($O329-Aannames!$B$10)*(Aannames!$B$12+Aannames!$B$13),"M4",$O329),0))*$P329)</f>
        <v/>
      </c>
      <c r="U329" s="15"/>
    </row>
    <row r="330" customFormat="false" ht="15" hidden="false" customHeight="false" outlineLevel="0" collapsed="false">
      <c r="I330" s="15"/>
      <c r="N330" s="16"/>
      <c r="O330" s="17" t="str">
        <f aca="false">IF(OR($N330="",$N330=0),"",MAX(MIN($N330,Aannames!$B$5)*Aannames!$C$5+MAX(0,MIN($N330,Aannames!$B$6)-Aannames!$B$5)*Aannames!$C$6+MAX(0,MIN($N330,Aannames!$B$7)-Aannames!$B$6)*Aannames!$C$7+MAX(0,$N330-Aannames!$B$7)*Aannames!$C$8,Aannames!$B$9)+Aannames!$B$10)</f>
        <v/>
      </c>
      <c r="P330" s="18" t="str">
        <f aca="false">IF($L330="","",IFERROR(_xlfn.SWITCH($L330,"M1",Aannames!$B$16,"M2",Aannames!$B$17,"M3",Aannames!$B$18,"M4",Aannames!$B$19),""))</f>
        <v/>
      </c>
      <c r="Q330" s="17" t="str">
        <f aca="false">IF(OR($O330="",$P330=""),"",IFERROR(_xlfn.SWITCH($L330,"M1",Aannames!$B$10,"M2",Aannames!$B$10+($O330-Aannames!$B$10)*Aannames!$B$12,"M3",Aannames!$B$10+($O330-Aannames!$B$10)*(Aannames!$B$12+Aannames!$B$13),"M4",$O330),0)+($O330-IFERROR(_xlfn.SWITCH($L330,"M1",Aannames!$B$10,"M2",Aannames!$B$10+($O330-Aannames!$B$10)*Aannames!$B$12,"M3",Aannames!$B$10+($O330-Aannames!$B$10)*(Aannames!$B$12+Aannames!$B$13),"M4",$O330),0))*$P330)</f>
        <v/>
      </c>
      <c r="U330" s="15"/>
    </row>
    <row r="331" customFormat="false" ht="15" hidden="false" customHeight="false" outlineLevel="0" collapsed="false">
      <c r="I331" s="15"/>
      <c r="N331" s="16"/>
      <c r="O331" s="17" t="str">
        <f aca="false">IF(OR($N331="",$N331=0),"",MAX(MIN($N331,Aannames!$B$5)*Aannames!$C$5+MAX(0,MIN($N331,Aannames!$B$6)-Aannames!$B$5)*Aannames!$C$6+MAX(0,MIN($N331,Aannames!$B$7)-Aannames!$B$6)*Aannames!$C$7+MAX(0,$N331-Aannames!$B$7)*Aannames!$C$8,Aannames!$B$9)+Aannames!$B$10)</f>
        <v/>
      </c>
      <c r="P331" s="18" t="str">
        <f aca="false">IF($L331="","",IFERROR(_xlfn.SWITCH($L331,"M1",Aannames!$B$16,"M2",Aannames!$B$17,"M3",Aannames!$B$18,"M4",Aannames!$B$19),""))</f>
        <v/>
      </c>
      <c r="Q331" s="17" t="str">
        <f aca="false">IF(OR($O331="",$P331=""),"",IFERROR(_xlfn.SWITCH($L331,"M1",Aannames!$B$10,"M2",Aannames!$B$10+($O331-Aannames!$B$10)*Aannames!$B$12,"M3",Aannames!$B$10+($O331-Aannames!$B$10)*(Aannames!$B$12+Aannames!$B$13),"M4",$O331),0)+($O331-IFERROR(_xlfn.SWITCH($L331,"M1",Aannames!$B$10,"M2",Aannames!$B$10+($O331-Aannames!$B$10)*Aannames!$B$12,"M3",Aannames!$B$10+($O331-Aannames!$B$10)*(Aannames!$B$12+Aannames!$B$13),"M4",$O331),0))*$P331)</f>
        <v/>
      </c>
      <c r="U331" s="15"/>
    </row>
    <row r="332" customFormat="false" ht="15" hidden="false" customHeight="false" outlineLevel="0" collapsed="false">
      <c r="I332" s="15"/>
      <c r="N332" s="16"/>
      <c r="O332" s="17" t="str">
        <f aca="false">IF(OR($N332="",$N332=0),"",MAX(MIN($N332,Aannames!$B$5)*Aannames!$C$5+MAX(0,MIN($N332,Aannames!$B$6)-Aannames!$B$5)*Aannames!$C$6+MAX(0,MIN($N332,Aannames!$B$7)-Aannames!$B$6)*Aannames!$C$7+MAX(0,$N332-Aannames!$B$7)*Aannames!$C$8,Aannames!$B$9)+Aannames!$B$10)</f>
        <v/>
      </c>
      <c r="P332" s="18" t="str">
        <f aca="false">IF($L332="","",IFERROR(_xlfn.SWITCH($L332,"M1",Aannames!$B$16,"M2",Aannames!$B$17,"M3",Aannames!$B$18,"M4",Aannames!$B$19),""))</f>
        <v/>
      </c>
      <c r="Q332" s="17" t="str">
        <f aca="false">IF(OR($O332="",$P332=""),"",IFERROR(_xlfn.SWITCH($L332,"M1",Aannames!$B$10,"M2",Aannames!$B$10+($O332-Aannames!$B$10)*Aannames!$B$12,"M3",Aannames!$B$10+($O332-Aannames!$B$10)*(Aannames!$B$12+Aannames!$B$13),"M4",$O332),0)+($O332-IFERROR(_xlfn.SWITCH($L332,"M1",Aannames!$B$10,"M2",Aannames!$B$10+($O332-Aannames!$B$10)*Aannames!$B$12,"M3",Aannames!$B$10+($O332-Aannames!$B$10)*(Aannames!$B$12+Aannames!$B$13),"M4",$O332),0))*$P332)</f>
        <v/>
      </c>
      <c r="U332" s="15"/>
    </row>
    <row r="333" customFormat="false" ht="15" hidden="false" customHeight="false" outlineLevel="0" collapsed="false">
      <c r="I333" s="15"/>
      <c r="N333" s="16"/>
      <c r="O333" s="17" t="str">
        <f aca="false">IF(OR($N333="",$N333=0),"",MAX(MIN($N333,Aannames!$B$5)*Aannames!$C$5+MAX(0,MIN($N333,Aannames!$B$6)-Aannames!$B$5)*Aannames!$C$6+MAX(0,MIN($N333,Aannames!$B$7)-Aannames!$B$6)*Aannames!$C$7+MAX(0,$N333-Aannames!$B$7)*Aannames!$C$8,Aannames!$B$9)+Aannames!$B$10)</f>
        <v/>
      </c>
      <c r="P333" s="18" t="str">
        <f aca="false">IF($L333="","",IFERROR(_xlfn.SWITCH($L333,"M1",Aannames!$B$16,"M2",Aannames!$B$17,"M3",Aannames!$B$18,"M4",Aannames!$B$19),""))</f>
        <v/>
      </c>
      <c r="Q333" s="17" t="str">
        <f aca="false">IF(OR($O333="",$P333=""),"",IFERROR(_xlfn.SWITCH($L333,"M1",Aannames!$B$10,"M2",Aannames!$B$10+($O333-Aannames!$B$10)*Aannames!$B$12,"M3",Aannames!$B$10+($O333-Aannames!$B$10)*(Aannames!$B$12+Aannames!$B$13),"M4",$O333),0)+($O333-IFERROR(_xlfn.SWITCH($L333,"M1",Aannames!$B$10,"M2",Aannames!$B$10+($O333-Aannames!$B$10)*Aannames!$B$12,"M3",Aannames!$B$10+($O333-Aannames!$B$10)*(Aannames!$B$12+Aannames!$B$13),"M4",$O333),0))*$P333)</f>
        <v/>
      </c>
      <c r="U333" s="15"/>
    </row>
    <row r="334" customFormat="false" ht="15" hidden="false" customHeight="false" outlineLevel="0" collapsed="false">
      <c r="I334" s="15"/>
      <c r="N334" s="16"/>
      <c r="O334" s="17" t="str">
        <f aca="false">IF(OR($N334="",$N334=0),"",MAX(MIN($N334,Aannames!$B$5)*Aannames!$C$5+MAX(0,MIN($N334,Aannames!$B$6)-Aannames!$B$5)*Aannames!$C$6+MAX(0,MIN($N334,Aannames!$B$7)-Aannames!$B$6)*Aannames!$C$7+MAX(0,$N334-Aannames!$B$7)*Aannames!$C$8,Aannames!$B$9)+Aannames!$B$10)</f>
        <v/>
      </c>
      <c r="P334" s="18" t="str">
        <f aca="false">IF($L334="","",IFERROR(_xlfn.SWITCH($L334,"M1",Aannames!$B$16,"M2",Aannames!$B$17,"M3",Aannames!$B$18,"M4",Aannames!$B$19),""))</f>
        <v/>
      </c>
      <c r="Q334" s="17" t="str">
        <f aca="false">IF(OR($O334="",$P334=""),"",IFERROR(_xlfn.SWITCH($L334,"M1",Aannames!$B$10,"M2",Aannames!$B$10+($O334-Aannames!$B$10)*Aannames!$B$12,"M3",Aannames!$B$10+($O334-Aannames!$B$10)*(Aannames!$B$12+Aannames!$B$13),"M4",$O334),0)+($O334-IFERROR(_xlfn.SWITCH($L334,"M1",Aannames!$B$10,"M2",Aannames!$B$10+($O334-Aannames!$B$10)*Aannames!$B$12,"M3",Aannames!$B$10+($O334-Aannames!$B$10)*(Aannames!$B$12+Aannames!$B$13),"M4",$O334),0))*$P334)</f>
        <v/>
      </c>
      <c r="U334" s="15"/>
    </row>
    <row r="335" customFormat="false" ht="15" hidden="false" customHeight="false" outlineLevel="0" collapsed="false">
      <c r="I335" s="15"/>
      <c r="N335" s="16"/>
      <c r="O335" s="17" t="str">
        <f aca="false">IF(OR($N335="",$N335=0),"",MAX(MIN($N335,Aannames!$B$5)*Aannames!$C$5+MAX(0,MIN($N335,Aannames!$B$6)-Aannames!$B$5)*Aannames!$C$6+MAX(0,MIN($N335,Aannames!$B$7)-Aannames!$B$6)*Aannames!$C$7+MAX(0,$N335-Aannames!$B$7)*Aannames!$C$8,Aannames!$B$9)+Aannames!$B$10)</f>
        <v/>
      </c>
      <c r="P335" s="18" t="str">
        <f aca="false">IF($L335="","",IFERROR(_xlfn.SWITCH($L335,"M1",Aannames!$B$16,"M2",Aannames!$B$17,"M3",Aannames!$B$18,"M4",Aannames!$B$19),""))</f>
        <v/>
      </c>
      <c r="Q335" s="17" t="str">
        <f aca="false">IF(OR($O335="",$P335=""),"",IFERROR(_xlfn.SWITCH($L335,"M1",Aannames!$B$10,"M2",Aannames!$B$10+($O335-Aannames!$B$10)*Aannames!$B$12,"M3",Aannames!$B$10+($O335-Aannames!$B$10)*(Aannames!$B$12+Aannames!$B$13),"M4",$O335),0)+($O335-IFERROR(_xlfn.SWITCH($L335,"M1",Aannames!$B$10,"M2",Aannames!$B$10+($O335-Aannames!$B$10)*Aannames!$B$12,"M3",Aannames!$B$10+($O335-Aannames!$B$10)*(Aannames!$B$12+Aannames!$B$13),"M4",$O335),0))*$P335)</f>
        <v/>
      </c>
      <c r="U335" s="15"/>
    </row>
    <row r="336" customFormat="false" ht="15" hidden="false" customHeight="false" outlineLevel="0" collapsed="false">
      <c r="I336" s="15"/>
      <c r="N336" s="16"/>
      <c r="O336" s="17" t="str">
        <f aca="false">IF(OR($N336="",$N336=0),"",MAX(MIN($N336,Aannames!$B$5)*Aannames!$C$5+MAX(0,MIN($N336,Aannames!$B$6)-Aannames!$B$5)*Aannames!$C$6+MAX(0,MIN($N336,Aannames!$B$7)-Aannames!$B$6)*Aannames!$C$7+MAX(0,$N336-Aannames!$B$7)*Aannames!$C$8,Aannames!$B$9)+Aannames!$B$10)</f>
        <v/>
      </c>
      <c r="P336" s="18" t="str">
        <f aca="false">IF($L336="","",IFERROR(_xlfn.SWITCH($L336,"M1",Aannames!$B$16,"M2",Aannames!$B$17,"M3",Aannames!$B$18,"M4",Aannames!$B$19),""))</f>
        <v/>
      </c>
      <c r="Q336" s="17" t="str">
        <f aca="false">IF(OR($O336="",$P336=""),"",IFERROR(_xlfn.SWITCH($L336,"M1",Aannames!$B$10,"M2",Aannames!$B$10+($O336-Aannames!$B$10)*Aannames!$B$12,"M3",Aannames!$B$10+($O336-Aannames!$B$10)*(Aannames!$B$12+Aannames!$B$13),"M4",$O336),0)+($O336-IFERROR(_xlfn.SWITCH($L336,"M1",Aannames!$B$10,"M2",Aannames!$B$10+($O336-Aannames!$B$10)*Aannames!$B$12,"M3",Aannames!$B$10+($O336-Aannames!$B$10)*(Aannames!$B$12+Aannames!$B$13),"M4",$O336),0))*$P336)</f>
        <v/>
      </c>
      <c r="U336" s="15"/>
    </row>
    <row r="337" customFormat="false" ht="15" hidden="false" customHeight="false" outlineLevel="0" collapsed="false">
      <c r="I337" s="15"/>
      <c r="N337" s="16"/>
      <c r="O337" s="17" t="str">
        <f aca="false">IF(OR($N337="",$N337=0),"",MAX(MIN($N337,Aannames!$B$5)*Aannames!$C$5+MAX(0,MIN($N337,Aannames!$B$6)-Aannames!$B$5)*Aannames!$C$6+MAX(0,MIN($N337,Aannames!$B$7)-Aannames!$B$6)*Aannames!$C$7+MAX(0,$N337-Aannames!$B$7)*Aannames!$C$8,Aannames!$B$9)+Aannames!$B$10)</f>
        <v/>
      </c>
      <c r="P337" s="18" t="str">
        <f aca="false">IF($L337="","",IFERROR(_xlfn.SWITCH($L337,"M1",Aannames!$B$16,"M2",Aannames!$B$17,"M3",Aannames!$B$18,"M4",Aannames!$B$19),""))</f>
        <v/>
      </c>
      <c r="Q337" s="17" t="str">
        <f aca="false">IF(OR($O337="",$P337=""),"",IFERROR(_xlfn.SWITCH($L337,"M1",Aannames!$B$10,"M2",Aannames!$B$10+($O337-Aannames!$B$10)*Aannames!$B$12,"M3",Aannames!$B$10+($O337-Aannames!$B$10)*(Aannames!$B$12+Aannames!$B$13),"M4",$O337),0)+($O337-IFERROR(_xlfn.SWITCH($L337,"M1",Aannames!$B$10,"M2",Aannames!$B$10+($O337-Aannames!$B$10)*Aannames!$B$12,"M3",Aannames!$B$10+($O337-Aannames!$B$10)*(Aannames!$B$12+Aannames!$B$13),"M4",$O337),0))*$P337)</f>
        <v/>
      </c>
      <c r="U337" s="15"/>
    </row>
    <row r="338" customFormat="false" ht="15" hidden="false" customHeight="false" outlineLevel="0" collapsed="false">
      <c r="I338" s="15"/>
      <c r="N338" s="16"/>
      <c r="O338" s="17" t="str">
        <f aca="false">IF(OR($N338="",$N338=0),"",MAX(MIN($N338,Aannames!$B$5)*Aannames!$C$5+MAX(0,MIN($N338,Aannames!$B$6)-Aannames!$B$5)*Aannames!$C$6+MAX(0,MIN($N338,Aannames!$B$7)-Aannames!$B$6)*Aannames!$C$7+MAX(0,$N338-Aannames!$B$7)*Aannames!$C$8,Aannames!$B$9)+Aannames!$B$10)</f>
        <v/>
      </c>
      <c r="P338" s="18" t="str">
        <f aca="false">IF($L338="","",IFERROR(_xlfn.SWITCH($L338,"M1",Aannames!$B$16,"M2",Aannames!$B$17,"M3",Aannames!$B$18,"M4",Aannames!$B$19),""))</f>
        <v/>
      </c>
      <c r="Q338" s="17" t="str">
        <f aca="false">IF(OR($O338="",$P338=""),"",IFERROR(_xlfn.SWITCH($L338,"M1",Aannames!$B$10,"M2",Aannames!$B$10+($O338-Aannames!$B$10)*Aannames!$B$12,"M3",Aannames!$B$10+($O338-Aannames!$B$10)*(Aannames!$B$12+Aannames!$B$13),"M4",$O338),0)+($O338-IFERROR(_xlfn.SWITCH($L338,"M1",Aannames!$B$10,"M2",Aannames!$B$10+($O338-Aannames!$B$10)*Aannames!$B$12,"M3",Aannames!$B$10+($O338-Aannames!$B$10)*(Aannames!$B$12+Aannames!$B$13),"M4",$O338),0))*$P338)</f>
        <v/>
      </c>
      <c r="U338" s="15"/>
    </row>
    <row r="339" customFormat="false" ht="15" hidden="false" customHeight="false" outlineLevel="0" collapsed="false">
      <c r="I339" s="15"/>
      <c r="N339" s="16"/>
      <c r="O339" s="17" t="str">
        <f aca="false">IF(OR($N339="",$N339=0),"",MAX(MIN($N339,Aannames!$B$5)*Aannames!$C$5+MAX(0,MIN($N339,Aannames!$B$6)-Aannames!$B$5)*Aannames!$C$6+MAX(0,MIN($N339,Aannames!$B$7)-Aannames!$B$6)*Aannames!$C$7+MAX(0,$N339-Aannames!$B$7)*Aannames!$C$8,Aannames!$B$9)+Aannames!$B$10)</f>
        <v/>
      </c>
      <c r="P339" s="18" t="str">
        <f aca="false">IF($L339="","",IFERROR(_xlfn.SWITCH($L339,"M1",Aannames!$B$16,"M2",Aannames!$B$17,"M3",Aannames!$B$18,"M4",Aannames!$B$19),""))</f>
        <v/>
      </c>
      <c r="Q339" s="17" t="str">
        <f aca="false">IF(OR($O339="",$P339=""),"",IFERROR(_xlfn.SWITCH($L339,"M1",Aannames!$B$10,"M2",Aannames!$B$10+($O339-Aannames!$B$10)*Aannames!$B$12,"M3",Aannames!$B$10+($O339-Aannames!$B$10)*(Aannames!$B$12+Aannames!$B$13),"M4",$O339),0)+($O339-IFERROR(_xlfn.SWITCH($L339,"M1",Aannames!$B$10,"M2",Aannames!$B$10+($O339-Aannames!$B$10)*Aannames!$B$12,"M3",Aannames!$B$10+($O339-Aannames!$B$10)*(Aannames!$B$12+Aannames!$B$13),"M4",$O339),0))*$P339)</f>
        <v/>
      </c>
      <c r="U339" s="15"/>
    </row>
    <row r="340" customFormat="false" ht="15" hidden="false" customHeight="false" outlineLevel="0" collapsed="false">
      <c r="I340" s="15"/>
      <c r="N340" s="16"/>
      <c r="O340" s="17" t="str">
        <f aca="false">IF(OR($N340="",$N340=0),"",MAX(MIN($N340,Aannames!$B$5)*Aannames!$C$5+MAX(0,MIN($N340,Aannames!$B$6)-Aannames!$B$5)*Aannames!$C$6+MAX(0,MIN($N340,Aannames!$B$7)-Aannames!$B$6)*Aannames!$C$7+MAX(0,$N340-Aannames!$B$7)*Aannames!$C$8,Aannames!$B$9)+Aannames!$B$10)</f>
        <v/>
      </c>
      <c r="P340" s="18" t="str">
        <f aca="false">IF($L340="","",IFERROR(_xlfn.SWITCH($L340,"M1",Aannames!$B$16,"M2",Aannames!$B$17,"M3",Aannames!$B$18,"M4",Aannames!$B$19),""))</f>
        <v/>
      </c>
      <c r="Q340" s="17" t="str">
        <f aca="false">IF(OR($O340="",$P340=""),"",IFERROR(_xlfn.SWITCH($L340,"M1",Aannames!$B$10,"M2",Aannames!$B$10+($O340-Aannames!$B$10)*Aannames!$B$12,"M3",Aannames!$B$10+($O340-Aannames!$B$10)*(Aannames!$B$12+Aannames!$B$13),"M4",$O340),0)+($O340-IFERROR(_xlfn.SWITCH($L340,"M1",Aannames!$B$10,"M2",Aannames!$B$10+($O340-Aannames!$B$10)*Aannames!$B$12,"M3",Aannames!$B$10+($O340-Aannames!$B$10)*(Aannames!$B$12+Aannames!$B$13),"M4",$O340),0))*$P340)</f>
        <v/>
      </c>
      <c r="U340" s="15"/>
    </row>
    <row r="341" customFormat="false" ht="15" hidden="false" customHeight="false" outlineLevel="0" collapsed="false">
      <c r="I341" s="15"/>
      <c r="N341" s="16"/>
      <c r="O341" s="17" t="str">
        <f aca="false">IF(OR($N341="",$N341=0),"",MAX(MIN($N341,Aannames!$B$5)*Aannames!$C$5+MAX(0,MIN($N341,Aannames!$B$6)-Aannames!$B$5)*Aannames!$C$6+MAX(0,MIN($N341,Aannames!$B$7)-Aannames!$B$6)*Aannames!$C$7+MAX(0,$N341-Aannames!$B$7)*Aannames!$C$8,Aannames!$B$9)+Aannames!$B$10)</f>
        <v/>
      </c>
      <c r="P341" s="18" t="str">
        <f aca="false">IF($L341="","",IFERROR(_xlfn.SWITCH($L341,"M1",Aannames!$B$16,"M2",Aannames!$B$17,"M3",Aannames!$B$18,"M4",Aannames!$B$19),""))</f>
        <v/>
      </c>
      <c r="Q341" s="17" t="str">
        <f aca="false">IF(OR($O341="",$P341=""),"",IFERROR(_xlfn.SWITCH($L341,"M1",Aannames!$B$10,"M2",Aannames!$B$10+($O341-Aannames!$B$10)*Aannames!$B$12,"M3",Aannames!$B$10+($O341-Aannames!$B$10)*(Aannames!$B$12+Aannames!$B$13),"M4",$O341),0)+($O341-IFERROR(_xlfn.SWITCH($L341,"M1",Aannames!$B$10,"M2",Aannames!$B$10+($O341-Aannames!$B$10)*Aannames!$B$12,"M3",Aannames!$B$10+($O341-Aannames!$B$10)*(Aannames!$B$12+Aannames!$B$13),"M4",$O341),0))*$P341)</f>
        <v/>
      </c>
      <c r="U341" s="15"/>
    </row>
    <row r="342" customFormat="false" ht="15" hidden="false" customHeight="false" outlineLevel="0" collapsed="false">
      <c r="I342" s="15"/>
      <c r="N342" s="16"/>
      <c r="O342" s="17" t="str">
        <f aca="false">IF(OR($N342="",$N342=0),"",MAX(MIN($N342,Aannames!$B$5)*Aannames!$C$5+MAX(0,MIN($N342,Aannames!$B$6)-Aannames!$B$5)*Aannames!$C$6+MAX(0,MIN($N342,Aannames!$B$7)-Aannames!$B$6)*Aannames!$C$7+MAX(0,$N342-Aannames!$B$7)*Aannames!$C$8,Aannames!$B$9)+Aannames!$B$10)</f>
        <v/>
      </c>
      <c r="P342" s="18" t="str">
        <f aca="false">IF($L342="","",IFERROR(_xlfn.SWITCH($L342,"M1",Aannames!$B$16,"M2",Aannames!$B$17,"M3",Aannames!$B$18,"M4",Aannames!$B$19),""))</f>
        <v/>
      </c>
      <c r="Q342" s="17" t="str">
        <f aca="false">IF(OR($O342="",$P342=""),"",IFERROR(_xlfn.SWITCH($L342,"M1",Aannames!$B$10,"M2",Aannames!$B$10+($O342-Aannames!$B$10)*Aannames!$B$12,"M3",Aannames!$B$10+($O342-Aannames!$B$10)*(Aannames!$B$12+Aannames!$B$13),"M4",$O342),0)+($O342-IFERROR(_xlfn.SWITCH($L342,"M1",Aannames!$B$10,"M2",Aannames!$B$10+($O342-Aannames!$B$10)*Aannames!$B$12,"M3",Aannames!$B$10+($O342-Aannames!$B$10)*(Aannames!$B$12+Aannames!$B$13),"M4",$O342),0))*$P342)</f>
        <v/>
      </c>
      <c r="U342" s="15"/>
    </row>
    <row r="343" customFormat="false" ht="15" hidden="false" customHeight="false" outlineLevel="0" collapsed="false">
      <c r="I343" s="15"/>
      <c r="N343" s="16"/>
      <c r="O343" s="17" t="str">
        <f aca="false">IF(OR($N343="",$N343=0),"",MAX(MIN($N343,Aannames!$B$5)*Aannames!$C$5+MAX(0,MIN($N343,Aannames!$B$6)-Aannames!$B$5)*Aannames!$C$6+MAX(0,MIN($N343,Aannames!$B$7)-Aannames!$B$6)*Aannames!$C$7+MAX(0,$N343-Aannames!$B$7)*Aannames!$C$8,Aannames!$B$9)+Aannames!$B$10)</f>
        <v/>
      </c>
      <c r="P343" s="18" t="str">
        <f aca="false">IF($L343="","",IFERROR(_xlfn.SWITCH($L343,"M1",Aannames!$B$16,"M2",Aannames!$B$17,"M3",Aannames!$B$18,"M4",Aannames!$B$19),""))</f>
        <v/>
      </c>
      <c r="Q343" s="17" t="str">
        <f aca="false">IF(OR($O343="",$P343=""),"",IFERROR(_xlfn.SWITCH($L343,"M1",Aannames!$B$10,"M2",Aannames!$B$10+($O343-Aannames!$B$10)*Aannames!$B$12,"M3",Aannames!$B$10+($O343-Aannames!$B$10)*(Aannames!$B$12+Aannames!$B$13),"M4",$O343),0)+($O343-IFERROR(_xlfn.SWITCH($L343,"M1",Aannames!$B$10,"M2",Aannames!$B$10+($O343-Aannames!$B$10)*Aannames!$B$12,"M3",Aannames!$B$10+($O343-Aannames!$B$10)*(Aannames!$B$12+Aannames!$B$13),"M4",$O343),0))*$P343)</f>
        <v/>
      </c>
      <c r="U343" s="15"/>
    </row>
    <row r="344" customFormat="false" ht="15" hidden="false" customHeight="false" outlineLevel="0" collapsed="false">
      <c r="I344" s="15"/>
      <c r="N344" s="16"/>
      <c r="O344" s="17" t="str">
        <f aca="false">IF(OR($N344="",$N344=0),"",MAX(MIN($N344,Aannames!$B$5)*Aannames!$C$5+MAX(0,MIN($N344,Aannames!$B$6)-Aannames!$B$5)*Aannames!$C$6+MAX(0,MIN($N344,Aannames!$B$7)-Aannames!$B$6)*Aannames!$C$7+MAX(0,$N344-Aannames!$B$7)*Aannames!$C$8,Aannames!$B$9)+Aannames!$B$10)</f>
        <v/>
      </c>
      <c r="P344" s="18" t="str">
        <f aca="false">IF($L344="","",IFERROR(_xlfn.SWITCH($L344,"M1",Aannames!$B$16,"M2",Aannames!$B$17,"M3",Aannames!$B$18,"M4",Aannames!$B$19),""))</f>
        <v/>
      </c>
      <c r="Q344" s="17" t="str">
        <f aca="false">IF(OR($O344="",$P344=""),"",IFERROR(_xlfn.SWITCH($L344,"M1",Aannames!$B$10,"M2",Aannames!$B$10+($O344-Aannames!$B$10)*Aannames!$B$12,"M3",Aannames!$B$10+($O344-Aannames!$B$10)*(Aannames!$B$12+Aannames!$B$13),"M4",$O344),0)+($O344-IFERROR(_xlfn.SWITCH($L344,"M1",Aannames!$B$10,"M2",Aannames!$B$10+($O344-Aannames!$B$10)*Aannames!$B$12,"M3",Aannames!$B$10+($O344-Aannames!$B$10)*(Aannames!$B$12+Aannames!$B$13),"M4",$O344),0))*$P344)</f>
        <v/>
      </c>
      <c r="U344" s="15"/>
    </row>
    <row r="345" customFormat="false" ht="15" hidden="false" customHeight="false" outlineLevel="0" collapsed="false">
      <c r="I345" s="15"/>
      <c r="N345" s="16"/>
      <c r="O345" s="17" t="str">
        <f aca="false">IF(OR($N345="",$N345=0),"",MAX(MIN($N345,Aannames!$B$5)*Aannames!$C$5+MAX(0,MIN($N345,Aannames!$B$6)-Aannames!$B$5)*Aannames!$C$6+MAX(0,MIN($N345,Aannames!$B$7)-Aannames!$B$6)*Aannames!$C$7+MAX(0,$N345-Aannames!$B$7)*Aannames!$C$8,Aannames!$B$9)+Aannames!$B$10)</f>
        <v/>
      </c>
      <c r="P345" s="18" t="str">
        <f aca="false">IF($L345="","",IFERROR(_xlfn.SWITCH($L345,"M1",Aannames!$B$16,"M2",Aannames!$B$17,"M3",Aannames!$B$18,"M4",Aannames!$B$19),""))</f>
        <v/>
      </c>
      <c r="Q345" s="17" t="str">
        <f aca="false">IF(OR($O345="",$P345=""),"",IFERROR(_xlfn.SWITCH($L345,"M1",Aannames!$B$10,"M2",Aannames!$B$10+($O345-Aannames!$B$10)*Aannames!$B$12,"M3",Aannames!$B$10+($O345-Aannames!$B$10)*(Aannames!$B$12+Aannames!$B$13),"M4",$O345),0)+($O345-IFERROR(_xlfn.SWITCH($L345,"M1",Aannames!$B$10,"M2",Aannames!$B$10+($O345-Aannames!$B$10)*Aannames!$B$12,"M3",Aannames!$B$10+($O345-Aannames!$B$10)*(Aannames!$B$12+Aannames!$B$13),"M4",$O345),0))*$P345)</f>
        <v/>
      </c>
      <c r="U345" s="15"/>
    </row>
    <row r="346" customFormat="false" ht="15" hidden="false" customHeight="false" outlineLevel="0" collapsed="false">
      <c r="I346" s="15"/>
      <c r="N346" s="16"/>
      <c r="O346" s="17" t="str">
        <f aca="false">IF(OR($N346="",$N346=0),"",MAX(MIN($N346,Aannames!$B$5)*Aannames!$C$5+MAX(0,MIN($N346,Aannames!$B$6)-Aannames!$B$5)*Aannames!$C$6+MAX(0,MIN($N346,Aannames!$B$7)-Aannames!$B$6)*Aannames!$C$7+MAX(0,$N346-Aannames!$B$7)*Aannames!$C$8,Aannames!$B$9)+Aannames!$B$10)</f>
        <v/>
      </c>
      <c r="P346" s="18" t="str">
        <f aca="false">IF($L346="","",IFERROR(_xlfn.SWITCH($L346,"M1",Aannames!$B$16,"M2",Aannames!$B$17,"M3",Aannames!$B$18,"M4",Aannames!$B$19),""))</f>
        <v/>
      </c>
      <c r="Q346" s="17" t="str">
        <f aca="false">IF(OR($O346="",$P346=""),"",IFERROR(_xlfn.SWITCH($L346,"M1",Aannames!$B$10,"M2",Aannames!$B$10+($O346-Aannames!$B$10)*Aannames!$B$12,"M3",Aannames!$B$10+($O346-Aannames!$B$10)*(Aannames!$B$12+Aannames!$B$13),"M4",$O346),0)+($O346-IFERROR(_xlfn.SWITCH($L346,"M1",Aannames!$B$10,"M2",Aannames!$B$10+($O346-Aannames!$B$10)*Aannames!$B$12,"M3",Aannames!$B$10+($O346-Aannames!$B$10)*(Aannames!$B$12+Aannames!$B$13),"M4",$O346),0))*$P346)</f>
        <v/>
      </c>
      <c r="U346" s="15"/>
    </row>
    <row r="347" customFormat="false" ht="15" hidden="false" customHeight="false" outlineLevel="0" collapsed="false">
      <c r="I347" s="15"/>
      <c r="N347" s="16"/>
      <c r="O347" s="17" t="str">
        <f aca="false">IF(OR($N347="",$N347=0),"",MAX(MIN($N347,Aannames!$B$5)*Aannames!$C$5+MAX(0,MIN($N347,Aannames!$B$6)-Aannames!$B$5)*Aannames!$C$6+MAX(0,MIN($N347,Aannames!$B$7)-Aannames!$B$6)*Aannames!$C$7+MAX(0,$N347-Aannames!$B$7)*Aannames!$C$8,Aannames!$B$9)+Aannames!$B$10)</f>
        <v/>
      </c>
      <c r="P347" s="18" t="str">
        <f aca="false">IF($L347="","",IFERROR(_xlfn.SWITCH($L347,"M1",Aannames!$B$16,"M2",Aannames!$B$17,"M3",Aannames!$B$18,"M4",Aannames!$B$19),""))</f>
        <v/>
      </c>
      <c r="Q347" s="17" t="str">
        <f aca="false">IF(OR($O347="",$P347=""),"",IFERROR(_xlfn.SWITCH($L347,"M1",Aannames!$B$10,"M2",Aannames!$B$10+($O347-Aannames!$B$10)*Aannames!$B$12,"M3",Aannames!$B$10+($O347-Aannames!$B$10)*(Aannames!$B$12+Aannames!$B$13),"M4",$O347),0)+($O347-IFERROR(_xlfn.SWITCH($L347,"M1",Aannames!$B$10,"M2",Aannames!$B$10+($O347-Aannames!$B$10)*Aannames!$B$12,"M3",Aannames!$B$10+($O347-Aannames!$B$10)*(Aannames!$B$12+Aannames!$B$13),"M4",$O347),0))*$P347)</f>
        <v/>
      </c>
      <c r="U347" s="15"/>
    </row>
    <row r="348" customFormat="false" ht="15" hidden="false" customHeight="false" outlineLevel="0" collapsed="false">
      <c r="I348" s="15"/>
      <c r="N348" s="16"/>
      <c r="O348" s="17" t="str">
        <f aca="false">IF(OR($N348="",$N348=0),"",MAX(MIN($N348,Aannames!$B$5)*Aannames!$C$5+MAX(0,MIN($N348,Aannames!$B$6)-Aannames!$B$5)*Aannames!$C$6+MAX(0,MIN($N348,Aannames!$B$7)-Aannames!$B$6)*Aannames!$C$7+MAX(0,$N348-Aannames!$B$7)*Aannames!$C$8,Aannames!$B$9)+Aannames!$B$10)</f>
        <v/>
      </c>
      <c r="P348" s="18" t="str">
        <f aca="false">IF($L348="","",IFERROR(_xlfn.SWITCH($L348,"M1",Aannames!$B$16,"M2",Aannames!$B$17,"M3",Aannames!$B$18,"M4",Aannames!$B$19),""))</f>
        <v/>
      </c>
      <c r="Q348" s="17" t="str">
        <f aca="false">IF(OR($O348="",$P348=""),"",IFERROR(_xlfn.SWITCH($L348,"M1",Aannames!$B$10,"M2",Aannames!$B$10+($O348-Aannames!$B$10)*Aannames!$B$12,"M3",Aannames!$B$10+($O348-Aannames!$B$10)*(Aannames!$B$12+Aannames!$B$13),"M4",$O348),0)+($O348-IFERROR(_xlfn.SWITCH($L348,"M1",Aannames!$B$10,"M2",Aannames!$B$10+($O348-Aannames!$B$10)*Aannames!$B$12,"M3",Aannames!$B$10+($O348-Aannames!$B$10)*(Aannames!$B$12+Aannames!$B$13),"M4",$O348),0))*$P348)</f>
        <v/>
      </c>
      <c r="U348" s="15"/>
    </row>
    <row r="349" customFormat="false" ht="15" hidden="false" customHeight="false" outlineLevel="0" collapsed="false">
      <c r="I349" s="15"/>
      <c r="N349" s="16"/>
      <c r="O349" s="17" t="str">
        <f aca="false">IF(OR($N349="",$N349=0),"",MAX(MIN($N349,Aannames!$B$5)*Aannames!$C$5+MAX(0,MIN($N349,Aannames!$B$6)-Aannames!$B$5)*Aannames!$C$6+MAX(0,MIN($N349,Aannames!$B$7)-Aannames!$B$6)*Aannames!$C$7+MAX(0,$N349-Aannames!$B$7)*Aannames!$C$8,Aannames!$B$9)+Aannames!$B$10)</f>
        <v/>
      </c>
      <c r="P349" s="18" t="str">
        <f aca="false">IF($L349="","",IFERROR(_xlfn.SWITCH($L349,"M1",Aannames!$B$16,"M2",Aannames!$B$17,"M3",Aannames!$B$18,"M4",Aannames!$B$19),""))</f>
        <v/>
      </c>
      <c r="Q349" s="17" t="str">
        <f aca="false">IF(OR($O349="",$P349=""),"",IFERROR(_xlfn.SWITCH($L349,"M1",Aannames!$B$10,"M2",Aannames!$B$10+($O349-Aannames!$B$10)*Aannames!$B$12,"M3",Aannames!$B$10+($O349-Aannames!$B$10)*(Aannames!$B$12+Aannames!$B$13),"M4",$O349),0)+($O349-IFERROR(_xlfn.SWITCH($L349,"M1",Aannames!$B$10,"M2",Aannames!$B$10+($O349-Aannames!$B$10)*Aannames!$B$12,"M3",Aannames!$B$10+($O349-Aannames!$B$10)*(Aannames!$B$12+Aannames!$B$13),"M4",$O349),0))*$P349)</f>
        <v/>
      </c>
      <c r="U349" s="15"/>
    </row>
    <row r="350" customFormat="false" ht="15" hidden="false" customHeight="false" outlineLevel="0" collapsed="false">
      <c r="I350" s="15"/>
      <c r="N350" s="16"/>
      <c r="O350" s="17" t="str">
        <f aca="false">IF(OR($N350="",$N350=0),"",MAX(MIN($N350,Aannames!$B$5)*Aannames!$C$5+MAX(0,MIN($N350,Aannames!$B$6)-Aannames!$B$5)*Aannames!$C$6+MAX(0,MIN($N350,Aannames!$B$7)-Aannames!$B$6)*Aannames!$C$7+MAX(0,$N350-Aannames!$B$7)*Aannames!$C$8,Aannames!$B$9)+Aannames!$B$10)</f>
        <v/>
      </c>
      <c r="P350" s="18" t="str">
        <f aca="false">IF($L350="","",IFERROR(_xlfn.SWITCH($L350,"M1",Aannames!$B$16,"M2",Aannames!$B$17,"M3",Aannames!$B$18,"M4",Aannames!$B$19),""))</f>
        <v/>
      </c>
      <c r="Q350" s="17" t="str">
        <f aca="false">IF(OR($O350="",$P350=""),"",IFERROR(_xlfn.SWITCH($L350,"M1",Aannames!$B$10,"M2",Aannames!$B$10+($O350-Aannames!$B$10)*Aannames!$B$12,"M3",Aannames!$B$10+($O350-Aannames!$B$10)*(Aannames!$B$12+Aannames!$B$13),"M4",$O350),0)+($O350-IFERROR(_xlfn.SWITCH($L350,"M1",Aannames!$B$10,"M2",Aannames!$B$10+($O350-Aannames!$B$10)*Aannames!$B$12,"M3",Aannames!$B$10+($O350-Aannames!$B$10)*(Aannames!$B$12+Aannames!$B$13),"M4",$O350),0))*$P350)</f>
        <v/>
      </c>
      <c r="U350" s="15"/>
    </row>
    <row r="351" customFormat="false" ht="15" hidden="false" customHeight="false" outlineLevel="0" collapsed="false">
      <c r="I351" s="15"/>
      <c r="N351" s="16"/>
      <c r="O351" s="17" t="str">
        <f aca="false">IF(OR($N351="",$N351=0),"",MAX(MIN($N351,Aannames!$B$5)*Aannames!$C$5+MAX(0,MIN($N351,Aannames!$B$6)-Aannames!$B$5)*Aannames!$C$6+MAX(0,MIN($N351,Aannames!$B$7)-Aannames!$B$6)*Aannames!$C$7+MAX(0,$N351-Aannames!$B$7)*Aannames!$C$8,Aannames!$B$9)+Aannames!$B$10)</f>
        <v/>
      </c>
      <c r="P351" s="18" t="str">
        <f aca="false">IF($L351="","",IFERROR(_xlfn.SWITCH($L351,"M1",Aannames!$B$16,"M2",Aannames!$B$17,"M3",Aannames!$B$18,"M4",Aannames!$B$19),""))</f>
        <v/>
      </c>
      <c r="Q351" s="17" t="str">
        <f aca="false">IF(OR($O351="",$P351=""),"",IFERROR(_xlfn.SWITCH($L351,"M1",Aannames!$B$10,"M2",Aannames!$B$10+($O351-Aannames!$B$10)*Aannames!$B$12,"M3",Aannames!$B$10+($O351-Aannames!$B$10)*(Aannames!$B$12+Aannames!$B$13),"M4",$O351),0)+($O351-IFERROR(_xlfn.SWITCH($L351,"M1",Aannames!$B$10,"M2",Aannames!$B$10+($O351-Aannames!$B$10)*Aannames!$B$12,"M3",Aannames!$B$10+($O351-Aannames!$B$10)*(Aannames!$B$12+Aannames!$B$13),"M4",$O351),0))*$P351)</f>
        <v/>
      </c>
      <c r="U351" s="15"/>
    </row>
    <row r="352" customFormat="false" ht="15" hidden="false" customHeight="false" outlineLevel="0" collapsed="false">
      <c r="I352" s="15"/>
      <c r="N352" s="16"/>
      <c r="O352" s="17" t="str">
        <f aca="false">IF(OR($N352="",$N352=0),"",MAX(MIN($N352,Aannames!$B$5)*Aannames!$C$5+MAX(0,MIN($N352,Aannames!$B$6)-Aannames!$B$5)*Aannames!$C$6+MAX(0,MIN($N352,Aannames!$B$7)-Aannames!$B$6)*Aannames!$C$7+MAX(0,$N352-Aannames!$B$7)*Aannames!$C$8,Aannames!$B$9)+Aannames!$B$10)</f>
        <v/>
      </c>
      <c r="P352" s="18" t="str">
        <f aca="false">IF($L352="","",IFERROR(_xlfn.SWITCH($L352,"M1",Aannames!$B$16,"M2",Aannames!$B$17,"M3",Aannames!$B$18,"M4",Aannames!$B$19),""))</f>
        <v/>
      </c>
      <c r="Q352" s="17" t="str">
        <f aca="false">IF(OR($O352="",$P352=""),"",IFERROR(_xlfn.SWITCH($L352,"M1",Aannames!$B$10,"M2",Aannames!$B$10+($O352-Aannames!$B$10)*Aannames!$B$12,"M3",Aannames!$B$10+($O352-Aannames!$B$10)*(Aannames!$B$12+Aannames!$B$13),"M4",$O352),0)+($O352-IFERROR(_xlfn.SWITCH($L352,"M1",Aannames!$B$10,"M2",Aannames!$B$10+($O352-Aannames!$B$10)*Aannames!$B$12,"M3",Aannames!$B$10+($O352-Aannames!$B$10)*(Aannames!$B$12+Aannames!$B$13),"M4",$O352),0))*$P352)</f>
        <v/>
      </c>
      <c r="U352" s="15"/>
    </row>
    <row r="353" customFormat="false" ht="15" hidden="false" customHeight="false" outlineLevel="0" collapsed="false">
      <c r="I353" s="15"/>
      <c r="N353" s="16"/>
      <c r="O353" s="17" t="str">
        <f aca="false">IF(OR($N353="",$N353=0),"",MAX(MIN($N353,Aannames!$B$5)*Aannames!$C$5+MAX(0,MIN($N353,Aannames!$B$6)-Aannames!$B$5)*Aannames!$C$6+MAX(0,MIN($N353,Aannames!$B$7)-Aannames!$B$6)*Aannames!$C$7+MAX(0,$N353-Aannames!$B$7)*Aannames!$C$8,Aannames!$B$9)+Aannames!$B$10)</f>
        <v/>
      </c>
      <c r="P353" s="18" t="str">
        <f aca="false">IF($L353="","",IFERROR(_xlfn.SWITCH($L353,"M1",Aannames!$B$16,"M2",Aannames!$B$17,"M3",Aannames!$B$18,"M4",Aannames!$B$19),""))</f>
        <v/>
      </c>
      <c r="Q353" s="17" t="str">
        <f aca="false">IF(OR($O353="",$P353=""),"",IFERROR(_xlfn.SWITCH($L353,"M1",Aannames!$B$10,"M2",Aannames!$B$10+($O353-Aannames!$B$10)*Aannames!$B$12,"M3",Aannames!$B$10+($O353-Aannames!$B$10)*(Aannames!$B$12+Aannames!$B$13),"M4",$O353),0)+($O353-IFERROR(_xlfn.SWITCH($L353,"M1",Aannames!$B$10,"M2",Aannames!$B$10+($O353-Aannames!$B$10)*Aannames!$B$12,"M3",Aannames!$B$10+($O353-Aannames!$B$10)*(Aannames!$B$12+Aannames!$B$13),"M4",$O353),0))*$P353)</f>
        <v/>
      </c>
      <c r="U353" s="15"/>
    </row>
    <row r="354" customFormat="false" ht="15" hidden="false" customHeight="false" outlineLevel="0" collapsed="false">
      <c r="I354" s="15"/>
      <c r="N354" s="16"/>
      <c r="O354" s="17" t="str">
        <f aca="false">IF(OR($N354="",$N354=0),"",MAX(MIN($N354,Aannames!$B$5)*Aannames!$C$5+MAX(0,MIN($N354,Aannames!$B$6)-Aannames!$B$5)*Aannames!$C$6+MAX(0,MIN($N354,Aannames!$B$7)-Aannames!$B$6)*Aannames!$C$7+MAX(0,$N354-Aannames!$B$7)*Aannames!$C$8,Aannames!$B$9)+Aannames!$B$10)</f>
        <v/>
      </c>
      <c r="P354" s="18" t="str">
        <f aca="false">IF($L354="","",IFERROR(_xlfn.SWITCH($L354,"M1",Aannames!$B$16,"M2",Aannames!$B$17,"M3",Aannames!$B$18,"M4",Aannames!$B$19),""))</f>
        <v/>
      </c>
      <c r="Q354" s="17" t="str">
        <f aca="false">IF(OR($O354="",$P354=""),"",IFERROR(_xlfn.SWITCH($L354,"M1",Aannames!$B$10,"M2",Aannames!$B$10+($O354-Aannames!$B$10)*Aannames!$B$12,"M3",Aannames!$B$10+($O354-Aannames!$B$10)*(Aannames!$B$12+Aannames!$B$13),"M4",$O354),0)+($O354-IFERROR(_xlfn.SWITCH($L354,"M1",Aannames!$B$10,"M2",Aannames!$B$10+($O354-Aannames!$B$10)*Aannames!$B$12,"M3",Aannames!$B$10+($O354-Aannames!$B$10)*(Aannames!$B$12+Aannames!$B$13),"M4",$O354),0))*$P354)</f>
        <v/>
      </c>
      <c r="U354" s="15"/>
    </row>
    <row r="355" customFormat="false" ht="15" hidden="false" customHeight="false" outlineLevel="0" collapsed="false">
      <c r="I355" s="15"/>
      <c r="N355" s="16"/>
      <c r="O355" s="17" t="str">
        <f aca="false">IF(OR($N355="",$N355=0),"",MAX(MIN($N355,Aannames!$B$5)*Aannames!$C$5+MAX(0,MIN($N355,Aannames!$B$6)-Aannames!$B$5)*Aannames!$C$6+MAX(0,MIN($N355,Aannames!$B$7)-Aannames!$B$6)*Aannames!$C$7+MAX(0,$N355-Aannames!$B$7)*Aannames!$C$8,Aannames!$B$9)+Aannames!$B$10)</f>
        <v/>
      </c>
      <c r="P355" s="18" t="str">
        <f aca="false">IF($L355="","",IFERROR(_xlfn.SWITCH($L355,"M1",Aannames!$B$16,"M2",Aannames!$B$17,"M3",Aannames!$B$18,"M4",Aannames!$B$19),""))</f>
        <v/>
      </c>
      <c r="Q355" s="17" t="str">
        <f aca="false">IF(OR($O355="",$P355=""),"",IFERROR(_xlfn.SWITCH($L355,"M1",Aannames!$B$10,"M2",Aannames!$B$10+($O355-Aannames!$B$10)*Aannames!$B$12,"M3",Aannames!$B$10+($O355-Aannames!$B$10)*(Aannames!$B$12+Aannames!$B$13),"M4",$O355),0)+($O355-IFERROR(_xlfn.SWITCH($L355,"M1",Aannames!$B$10,"M2",Aannames!$B$10+($O355-Aannames!$B$10)*Aannames!$B$12,"M3",Aannames!$B$10+($O355-Aannames!$B$10)*(Aannames!$B$12+Aannames!$B$13),"M4",$O355),0))*$P355)</f>
        <v/>
      </c>
      <c r="U355" s="15"/>
    </row>
    <row r="356" customFormat="false" ht="15" hidden="false" customHeight="false" outlineLevel="0" collapsed="false">
      <c r="I356" s="15"/>
      <c r="N356" s="16"/>
      <c r="O356" s="17" t="str">
        <f aca="false">IF(OR($N356="",$N356=0),"",MAX(MIN($N356,Aannames!$B$5)*Aannames!$C$5+MAX(0,MIN($N356,Aannames!$B$6)-Aannames!$B$5)*Aannames!$C$6+MAX(0,MIN($N356,Aannames!$B$7)-Aannames!$B$6)*Aannames!$C$7+MAX(0,$N356-Aannames!$B$7)*Aannames!$C$8,Aannames!$B$9)+Aannames!$B$10)</f>
        <v/>
      </c>
      <c r="P356" s="18" t="str">
        <f aca="false">IF($L356="","",IFERROR(_xlfn.SWITCH($L356,"M1",Aannames!$B$16,"M2",Aannames!$B$17,"M3",Aannames!$B$18,"M4",Aannames!$B$19),""))</f>
        <v/>
      </c>
      <c r="Q356" s="17" t="str">
        <f aca="false">IF(OR($O356="",$P356=""),"",IFERROR(_xlfn.SWITCH($L356,"M1",Aannames!$B$10,"M2",Aannames!$B$10+($O356-Aannames!$B$10)*Aannames!$B$12,"M3",Aannames!$B$10+($O356-Aannames!$B$10)*(Aannames!$B$12+Aannames!$B$13),"M4",$O356),0)+($O356-IFERROR(_xlfn.SWITCH($L356,"M1",Aannames!$B$10,"M2",Aannames!$B$10+($O356-Aannames!$B$10)*Aannames!$B$12,"M3",Aannames!$B$10+($O356-Aannames!$B$10)*(Aannames!$B$12+Aannames!$B$13),"M4",$O356),0))*$P356)</f>
        <v/>
      </c>
      <c r="U356" s="15"/>
    </row>
    <row r="357" customFormat="false" ht="15" hidden="false" customHeight="false" outlineLevel="0" collapsed="false">
      <c r="I357" s="15"/>
      <c r="N357" s="16"/>
      <c r="O357" s="17" t="str">
        <f aca="false">IF(OR($N357="",$N357=0),"",MAX(MIN($N357,Aannames!$B$5)*Aannames!$C$5+MAX(0,MIN($N357,Aannames!$B$6)-Aannames!$B$5)*Aannames!$C$6+MAX(0,MIN($N357,Aannames!$B$7)-Aannames!$B$6)*Aannames!$C$7+MAX(0,$N357-Aannames!$B$7)*Aannames!$C$8,Aannames!$B$9)+Aannames!$B$10)</f>
        <v/>
      </c>
      <c r="P357" s="18" t="str">
        <f aca="false">IF($L357="","",IFERROR(_xlfn.SWITCH($L357,"M1",Aannames!$B$16,"M2",Aannames!$B$17,"M3",Aannames!$B$18,"M4",Aannames!$B$19),""))</f>
        <v/>
      </c>
      <c r="Q357" s="17" t="str">
        <f aca="false">IF(OR($O357="",$P357=""),"",IFERROR(_xlfn.SWITCH($L357,"M1",Aannames!$B$10,"M2",Aannames!$B$10+($O357-Aannames!$B$10)*Aannames!$B$12,"M3",Aannames!$B$10+($O357-Aannames!$B$10)*(Aannames!$B$12+Aannames!$B$13),"M4",$O357),0)+($O357-IFERROR(_xlfn.SWITCH($L357,"M1",Aannames!$B$10,"M2",Aannames!$B$10+($O357-Aannames!$B$10)*Aannames!$B$12,"M3",Aannames!$B$10+($O357-Aannames!$B$10)*(Aannames!$B$12+Aannames!$B$13),"M4",$O357),0))*$P357)</f>
        <v/>
      </c>
      <c r="U357" s="15"/>
    </row>
    <row r="358" customFormat="false" ht="15" hidden="false" customHeight="false" outlineLevel="0" collapsed="false">
      <c r="I358" s="15"/>
      <c r="N358" s="16"/>
      <c r="O358" s="17" t="str">
        <f aca="false">IF(OR($N358="",$N358=0),"",MAX(MIN($N358,Aannames!$B$5)*Aannames!$C$5+MAX(0,MIN($N358,Aannames!$B$6)-Aannames!$B$5)*Aannames!$C$6+MAX(0,MIN($N358,Aannames!$B$7)-Aannames!$B$6)*Aannames!$C$7+MAX(0,$N358-Aannames!$B$7)*Aannames!$C$8,Aannames!$B$9)+Aannames!$B$10)</f>
        <v/>
      </c>
      <c r="P358" s="18" t="str">
        <f aca="false">IF($L358="","",IFERROR(_xlfn.SWITCH($L358,"M1",Aannames!$B$16,"M2",Aannames!$B$17,"M3",Aannames!$B$18,"M4",Aannames!$B$19),""))</f>
        <v/>
      </c>
      <c r="Q358" s="17" t="str">
        <f aca="false">IF(OR($O358="",$P358=""),"",IFERROR(_xlfn.SWITCH($L358,"M1",Aannames!$B$10,"M2",Aannames!$B$10+($O358-Aannames!$B$10)*Aannames!$B$12,"M3",Aannames!$B$10+($O358-Aannames!$B$10)*(Aannames!$B$12+Aannames!$B$13),"M4",$O358),0)+($O358-IFERROR(_xlfn.SWITCH($L358,"M1",Aannames!$B$10,"M2",Aannames!$B$10+($O358-Aannames!$B$10)*Aannames!$B$12,"M3",Aannames!$B$10+($O358-Aannames!$B$10)*(Aannames!$B$12+Aannames!$B$13),"M4",$O358),0))*$P358)</f>
        <v/>
      </c>
      <c r="U358" s="15"/>
    </row>
    <row r="359" customFormat="false" ht="15" hidden="false" customHeight="false" outlineLevel="0" collapsed="false">
      <c r="I359" s="15"/>
      <c r="N359" s="16"/>
      <c r="O359" s="17" t="str">
        <f aca="false">IF(OR($N359="",$N359=0),"",MAX(MIN($N359,Aannames!$B$5)*Aannames!$C$5+MAX(0,MIN($N359,Aannames!$B$6)-Aannames!$B$5)*Aannames!$C$6+MAX(0,MIN($N359,Aannames!$B$7)-Aannames!$B$6)*Aannames!$C$7+MAX(0,$N359-Aannames!$B$7)*Aannames!$C$8,Aannames!$B$9)+Aannames!$B$10)</f>
        <v/>
      </c>
      <c r="P359" s="18" t="str">
        <f aca="false">IF($L359="","",IFERROR(_xlfn.SWITCH($L359,"M1",Aannames!$B$16,"M2",Aannames!$B$17,"M3",Aannames!$B$18,"M4",Aannames!$B$19),""))</f>
        <v/>
      </c>
      <c r="Q359" s="17" t="str">
        <f aca="false">IF(OR($O359="",$P359=""),"",IFERROR(_xlfn.SWITCH($L359,"M1",Aannames!$B$10,"M2",Aannames!$B$10+($O359-Aannames!$B$10)*Aannames!$B$12,"M3",Aannames!$B$10+($O359-Aannames!$B$10)*(Aannames!$B$12+Aannames!$B$13),"M4",$O359),0)+($O359-IFERROR(_xlfn.SWITCH($L359,"M1",Aannames!$B$10,"M2",Aannames!$B$10+($O359-Aannames!$B$10)*Aannames!$B$12,"M3",Aannames!$B$10+($O359-Aannames!$B$10)*(Aannames!$B$12+Aannames!$B$13),"M4",$O359),0))*$P359)</f>
        <v/>
      </c>
      <c r="U359" s="15"/>
    </row>
    <row r="360" customFormat="false" ht="15" hidden="false" customHeight="false" outlineLevel="0" collapsed="false">
      <c r="I360" s="15"/>
      <c r="N360" s="16"/>
      <c r="O360" s="17" t="str">
        <f aca="false">IF(OR($N360="",$N360=0),"",MAX(MIN($N360,Aannames!$B$5)*Aannames!$C$5+MAX(0,MIN($N360,Aannames!$B$6)-Aannames!$B$5)*Aannames!$C$6+MAX(0,MIN($N360,Aannames!$B$7)-Aannames!$B$6)*Aannames!$C$7+MAX(0,$N360-Aannames!$B$7)*Aannames!$C$8,Aannames!$B$9)+Aannames!$B$10)</f>
        <v/>
      </c>
      <c r="P360" s="18" t="str">
        <f aca="false">IF($L360="","",IFERROR(_xlfn.SWITCH($L360,"M1",Aannames!$B$16,"M2",Aannames!$B$17,"M3",Aannames!$B$18,"M4",Aannames!$B$19),""))</f>
        <v/>
      </c>
      <c r="Q360" s="17" t="str">
        <f aca="false">IF(OR($O360="",$P360=""),"",IFERROR(_xlfn.SWITCH($L360,"M1",Aannames!$B$10,"M2",Aannames!$B$10+($O360-Aannames!$B$10)*Aannames!$B$12,"M3",Aannames!$B$10+($O360-Aannames!$B$10)*(Aannames!$B$12+Aannames!$B$13),"M4",$O360),0)+($O360-IFERROR(_xlfn.SWITCH($L360,"M1",Aannames!$B$10,"M2",Aannames!$B$10+($O360-Aannames!$B$10)*Aannames!$B$12,"M3",Aannames!$B$10+($O360-Aannames!$B$10)*(Aannames!$B$12+Aannames!$B$13),"M4",$O360),0))*$P360)</f>
        <v/>
      </c>
      <c r="U360" s="15"/>
    </row>
    <row r="361" customFormat="false" ht="15" hidden="false" customHeight="false" outlineLevel="0" collapsed="false">
      <c r="I361" s="15"/>
      <c r="N361" s="16"/>
      <c r="O361" s="17" t="str">
        <f aca="false">IF(OR($N361="",$N361=0),"",MAX(MIN($N361,Aannames!$B$5)*Aannames!$C$5+MAX(0,MIN($N361,Aannames!$B$6)-Aannames!$B$5)*Aannames!$C$6+MAX(0,MIN($N361,Aannames!$B$7)-Aannames!$B$6)*Aannames!$C$7+MAX(0,$N361-Aannames!$B$7)*Aannames!$C$8,Aannames!$B$9)+Aannames!$B$10)</f>
        <v/>
      </c>
      <c r="P361" s="18" t="str">
        <f aca="false">IF($L361="","",IFERROR(_xlfn.SWITCH($L361,"M1",Aannames!$B$16,"M2",Aannames!$B$17,"M3",Aannames!$B$18,"M4",Aannames!$B$19),""))</f>
        <v/>
      </c>
      <c r="Q361" s="17" t="str">
        <f aca="false">IF(OR($O361="",$P361=""),"",IFERROR(_xlfn.SWITCH($L361,"M1",Aannames!$B$10,"M2",Aannames!$B$10+($O361-Aannames!$B$10)*Aannames!$B$12,"M3",Aannames!$B$10+($O361-Aannames!$B$10)*(Aannames!$B$12+Aannames!$B$13),"M4",$O361),0)+($O361-IFERROR(_xlfn.SWITCH($L361,"M1",Aannames!$B$10,"M2",Aannames!$B$10+($O361-Aannames!$B$10)*Aannames!$B$12,"M3",Aannames!$B$10+($O361-Aannames!$B$10)*(Aannames!$B$12+Aannames!$B$13),"M4",$O361),0))*$P361)</f>
        <v/>
      </c>
      <c r="U361" s="15"/>
    </row>
    <row r="362" customFormat="false" ht="15" hidden="false" customHeight="false" outlineLevel="0" collapsed="false">
      <c r="I362" s="15"/>
      <c r="N362" s="16"/>
      <c r="O362" s="17" t="str">
        <f aca="false">IF(OR($N362="",$N362=0),"",MAX(MIN($N362,Aannames!$B$5)*Aannames!$C$5+MAX(0,MIN($N362,Aannames!$B$6)-Aannames!$B$5)*Aannames!$C$6+MAX(0,MIN($N362,Aannames!$B$7)-Aannames!$B$6)*Aannames!$C$7+MAX(0,$N362-Aannames!$B$7)*Aannames!$C$8,Aannames!$B$9)+Aannames!$B$10)</f>
        <v/>
      </c>
      <c r="P362" s="18" t="str">
        <f aca="false">IF($L362="","",IFERROR(_xlfn.SWITCH($L362,"M1",Aannames!$B$16,"M2",Aannames!$B$17,"M3",Aannames!$B$18,"M4",Aannames!$B$19),""))</f>
        <v/>
      </c>
      <c r="Q362" s="17" t="str">
        <f aca="false">IF(OR($O362="",$P362=""),"",IFERROR(_xlfn.SWITCH($L362,"M1",Aannames!$B$10,"M2",Aannames!$B$10+($O362-Aannames!$B$10)*Aannames!$B$12,"M3",Aannames!$B$10+($O362-Aannames!$B$10)*(Aannames!$B$12+Aannames!$B$13),"M4",$O362),0)+($O362-IFERROR(_xlfn.SWITCH($L362,"M1",Aannames!$B$10,"M2",Aannames!$B$10+($O362-Aannames!$B$10)*Aannames!$B$12,"M3",Aannames!$B$10+($O362-Aannames!$B$10)*(Aannames!$B$12+Aannames!$B$13),"M4",$O362),0))*$P362)</f>
        <v/>
      </c>
      <c r="U362" s="15"/>
    </row>
    <row r="363" customFormat="false" ht="15" hidden="false" customHeight="false" outlineLevel="0" collapsed="false">
      <c r="I363" s="15"/>
      <c r="N363" s="16"/>
      <c r="O363" s="17" t="str">
        <f aca="false">IF(OR($N363="",$N363=0),"",MAX(MIN($N363,Aannames!$B$5)*Aannames!$C$5+MAX(0,MIN($N363,Aannames!$B$6)-Aannames!$B$5)*Aannames!$C$6+MAX(0,MIN($N363,Aannames!$B$7)-Aannames!$B$6)*Aannames!$C$7+MAX(0,$N363-Aannames!$B$7)*Aannames!$C$8,Aannames!$B$9)+Aannames!$B$10)</f>
        <v/>
      </c>
      <c r="P363" s="18" t="str">
        <f aca="false">IF($L363="","",IFERROR(_xlfn.SWITCH($L363,"M1",Aannames!$B$16,"M2",Aannames!$B$17,"M3",Aannames!$B$18,"M4",Aannames!$B$19),""))</f>
        <v/>
      </c>
      <c r="Q363" s="17" t="str">
        <f aca="false">IF(OR($O363="",$P363=""),"",IFERROR(_xlfn.SWITCH($L363,"M1",Aannames!$B$10,"M2",Aannames!$B$10+($O363-Aannames!$B$10)*Aannames!$B$12,"M3",Aannames!$B$10+($O363-Aannames!$B$10)*(Aannames!$B$12+Aannames!$B$13),"M4",$O363),0)+($O363-IFERROR(_xlfn.SWITCH($L363,"M1",Aannames!$B$10,"M2",Aannames!$B$10+($O363-Aannames!$B$10)*Aannames!$B$12,"M3",Aannames!$B$10+($O363-Aannames!$B$10)*(Aannames!$B$12+Aannames!$B$13),"M4",$O363),0))*$P363)</f>
        <v/>
      </c>
      <c r="U363" s="15"/>
    </row>
    <row r="364" customFormat="false" ht="15" hidden="false" customHeight="false" outlineLevel="0" collapsed="false">
      <c r="I364" s="15"/>
      <c r="N364" s="16"/>
      <c r="O364" s="17" t="str">
        <f aca="false">IF(OR($N364="",$N364=0),"",MAX(MIN($N364,Aannames!$B$5)*Aannames!$C$5+MAX(0,MIN($N364,Aannames!$B$6)-Aannames!$B$5)*Aannames!$C$6+MAX(0,MIN($N364,Aannames!$B$7)-Aannames!$B$6)*Aannames!$C$7+MAX(0,$N364-Aannames!$B$7)*Aannames!$C$8,Aannames!$B$9)+Aannames!$B$10)</f>
        <v/>
      </c>
      <c r="P364" s="18" t="str">
        <f aca="false">IF($L364="","",IFERROR(_xlfn.SWITCH($L364,"M1",Aannames!$B$16,"M2",Aannames!$B$17,"M3",Aannames!$B$18,"M4",Aannames!$B$19),""))</f>
        <v/>
      </c>
      <c r="Q364" s="17" t="str">
        <f aca="false">IF(OR($O364="",$P364=""),"",IFERROR(_xlfn.SWITCH($L364,"M1",Aannames!$B$10,"M2",Aannames!$B$10+($O364-Aannames!$B$10)*Aannames!$B$12,"M3",Aannames!$B$10+($O364-Aannames!$B$10)*(Aannames!$B$12+Aannames!$B$13),"M4",$O364),0)+($O364-IFERROR(_xlfn.SWITCH($L364,"M1",Aannames!$B$10,"M2",Aannames!$B$10+($O364-Aannames!$B$10)*Aannames!$B$12,"M3",Aannames!$B$10+($O364-Aannames!$B$10)*(Aannames!$B$12+Aannames!$B$13),"M4",$O364),0))*$P364)</f>
        <v/>
      </c>
      <c r="U364" s="15"/>
    </row>
    <row r="365" customFormat="false" ht="15" hidden="false" customHeight="false" outlineLevel="0" collapsed="false">
      <c r="I365" s="15"/>
      <c r="N365" s="16"/>
      <c r="O365" s="17" t="str">
        <f aca="false">IF(OR($N365="",$N365=0),"",MAX(MIN($N365,Aannames!$B$5)*Aannames!$C$5+MAX(0,MIN($N365,Aannames!$B$6)-Aannames!$B$5)*Aannames!$C$6+MAX(0,MIN($N365,Aannames!$B$7)-Aannames!$B$6)*Aannames!$C$7+MAX(0,$N365-Aannames!$B$7)*Aannames!$C$8,Aannames!$B$9)+Aannames!$B$10)</f>
        <v/>
      </c>
      <c r="P365" s="18" t="str">
        <f aca="false">IF($L365="","",IFERROR(_xlfn.SWITCH($L365,"M1",Aannames!$B$16,"M2",Aannames!$B$17,"M3",Aannames!$B$18,"M4",Aannames!$B$19),""))</f>
        <v/>
      </c>
      <c r="Q365" s="17" t="str">
        <f aca="false">IF(OR($O365="",$P365=""),"",IFERROR(_xlfn.SWITCH($L365,"M1",Aannames!$B$10,"M2",Aannames!$B$10+($O365-Aannames!$B$10)*Aannames!$B$12,"M3",Aannames!$B$10+($O365-Aannames!$B$10)*(Aannames!$B$12+Aannames!$B$13),"M4",$O365),0)+($O365-IFERROR(_xlfn.SWITCH($L365,"M1",Aannames!$B$10,"M2",Aannames!$B$10+($O365-Aannames!$B$10)*Aannames!$B$12,"M3",Aannames!$B$10+($O365-Aannames!$B$10)*(Aannames!$B$12+Aannames!$B$13),"M4",$O365),0))*$P365)</f>
        <v/>
      </c>
      <c r="U365" s="15"/>
    </row>
    <row r="366" customFormat="false" ht="15" hidden="false" customHeight="false" outlineLevel="0" collapsed="false">
      <c r="I366" s="15"/>
      <c r="N366" s="16"/>
      <c r="O366" s="17" t="str">
        <f aca="false">IF(OR($N366="",$N366=0),"",MAX(MIN($N366,Aannames!$B$5)*Aannames!$C$5+MAX(0,MIN($N366,Aannames!$B$6)-Aannames!$B$5)*Aannames!$C$6+MAX(0,MIN($N366,Aannames!$B$7)-Aannames!$B$6)*Aannames!$C$7+MAX(0,$N366-Aannames!$B$7)*Aannames!$C$8,Aannames!$B$9)+Aannames!$B$10)</f>
        <v/>
      </c>
      <c r="P366" s="18" t="str">
        <f aca="false">IF($L366="","",IFERROR(_xlfn.SWITCH($L366,"M1",Aannames!$B$16,"M2",Aannames!$B$17,"M3",Aannames!$B$18,"M4",Aannames!$B$19),""))</f>
        <v/>
      </c>
      <c r="Q366" s="17" t="str">
        <f aca="false">IF(OR($O366="",$P366=""),"",IFERROR(_xlfn.SWITCH($L366,"M1",Aannames!$B$10,"M2",Aannames!$B$10+($O366-Aannames!$B$10)*Aannames!$B$12,"M3",Aannames!$B$10+($O366-Aannames!$B$10)*(Aannames!$B$12+Aannames!$B$13),"M4",$O366),0)+($O366-IFERROR(_xlfn.SWITCH($L366,"M1",Aannames!$B$10,"M2",Aannames!$B$10+($O366-Aannames!$B$10)*Aannames!$B$12,"M3",Aannames!$B$10+($O366-Aannames!$B$10)*(Aannames!$B$12+Aannames!$B$13),"M4",$O366),0))*$P366)</f>
        <v/>
      </c>
      <c r="U366" s="15"/>
    </row>
    <row r="367" customFormat="false" ht="15" hidden="false" customHeight="false" outlineLevel="0" collapsed="false">
      <c r="I367" s="15"/>
      <c r="N367" s="16"/>
      <c r="O367" s="17" t="str">
        <f aca="false">IF(OR($N367="",$N367=0),"",MAX(MIN($N367,Aannames!$B$5)*Aannames!$C$5+MAX(0,MIN($N367,Aannames!$B$6)-Aannames!$B$5)*Aannames!$C$6+MAX(0,MIN($N367,Aannames!$B$7)-Aannames!$B$6)*Aannames!$C$7+MAX(0,$N367-Aannames!$B$7)*Aannames!$C$8,Aannames!$B$9)+Aannames!$B$10)</f>
        <v/>
      </c>
      <c r="P367" s="18" t="str">
        <f aca="false">IF($L367="","",IFERROR(_xlfn.SWITCH($L367,"M1",Aannames!$B$16,"M2",Aannames!$B$17,"M3",Aannames!$B$18,"M4",Aannames!$B$19),""))</f>
        <v/>
      </c>
      <c r="Q367" s="17" t="str">
        <f aca="false">IF(OR($O367="",$P367=""),"",IFERROR(_xlfn.SWITCH($L367,"M1",Aannames!$B$10,"M2",Aannames!$B$10+($O367-Aannames!$B$10)*Aannames!$B$12,"M3",Aannames!$B$10+($O367-Aannames!$B$10)*(Aannames!$B$12+Aannames!$B$13),"M4",$O367),0)+($O367-IFERROR(_xlfn.SWITCH($L367,"M1",Aannames!$B$10,"M2",Aannames!$B$10+($O367-Aannames!$B$10)*Aannames!$B$12,"M3",Aannames!$B$10+($O367-Aannames!$B$10)*(Aannames!$B$12+Aannames!$B$13),"M4",$O367),0))*$P367)</f>
        <v/>
      </c>
      <c r="U367" s="15"/>
    </row>
    <row r="368" customFormat="false" ht="15" hidden="false" customHeight="false" outlineLevel="0" collapsed="false">
      <c r="I368" s="15"/>
      <c r="N368" s="16"/>
      <c r="O368" s="17" t="str">
        <f aca="false">IF(OR($N368="",$N368=0),"",MAX(MIN($N368,Aannames!$B$5)*Aannames!$C$5+MAX(0,MIN($N368,Aannames!$B$6)-Aannames!$B$5)*Aannames!$C$6+MAX(0,MIN($N368,Aannames!$B$7)-Aannames!$B$6)*Aannames!$C$7+MAX(0,$N368-Aannames!$B$7)*Aannames!$C$8,Aannames!$B$9)+Aannames!$B$10)</f>
        <v/>
      </c>
      <c r="P368" s="18" t="str">
        <f aca="false">IF($L368="","",IFERROR(_xlfn.SWITCH($L368,"M1",Aannames!$B$16,"M2",Aannames!$B$17,"M3",Aannames!$B$18,"M4",Aannames!$B$19),""))</f>
        <v/>
      </c>
      <c r="Q368" s="17" t="str">
        <f aca="false">IF(OR($O368="",$P368=""),"",IFERROR(_xlfn.SWITCH($L368,"M1",Aannames!$B$10,"M2",Aannames!$B$10+($O368-Aannames!$B$10)*Aannames!$B$12,"M3",Aannames!$B$10+($O368-Aannames!$B$10)*(Aannames!$B$12+Aannames!$B$13),"M4",$O368),0)+($O368-IFERROR(_xlfn.SWITCH($L368,"M1",Aannames!$B$10,"M2",Aannames!$B$10+($O368-Aannames!$B$10)*Aannames!$B$12,"M3",Aannames!$B$10+($O368-Aannames!$B$10)*(Aannames!$B$12+Aannames!$B$13),"M4",$O368),0))*$P368)</f>
        <v/>
      </c>
      <c r="U368" s="15"/>
    </row>
    <row r="369" customFormat="false" ht="15" hidden="false" customHeight="false" outlineLevel="0" collapsed="false">
      <c r="I369" s="15"/>
      <c r="N369" s="16"/>
      <c r="O369" s="17" t="str">
        <f aca="false">IF(OR($N369="",$N369=0),"",MAX(MIN($N369,Aannames!$B$5)*Aannames!$C$5+MAX(0,MIN($N369,Aannames!$B$6)-Aannames!$B$5)*Aannames!$C$6+MAX(0,MIN($N369,Aannames!$B$7)-Aannames!$B$6)*Aannames!$C$7+MAX(0,$N369-Aannames!$B$7)*Aannames!$C$8,Aannames!$B$9)+Aannames!$B$10)</f>
        <v/>
      </c>
      <c r="P369" s="18" t="str">
        <f aca="false">IF($L369="","",IFERROR(_xlfn.SWITCH($L369,"M1",Aannames!$B$16,"M2",Aannames!$B$17,"M3",Aannames!$B$18,"M4",Aannames!$B$19),""))</f>
        <v/>
      </c>
      <c r="Q369" s="17" t="str">
        <f aca="false">IF(OR($O369="",$P369=""),"",IFERROR(_xlfn.SWITCH($L369,"M1",Aannames!$B$10,"M2",Aannames!$B$10+($O369-Aannames!$B$10)*Aannames!$B$12,"M3",Aannames!$B$10+($O369-Aannames!$B$10)*(Aannames!$B$12+Aannames!$B$13),"M4",$O369),0)+($O369-IFERROR(_xlfn.SWITCH($L369,"M1",Aannames!$B$10,"M2",Aannames!$B$10+($O369-Aannames!$B$10)*Aannames!$B$12,"M3",Aannames!$B$10+($O369-Aannames!$B$10)*(Aannames!$B$12+Aannames!$B$13),"M4",$O369),0))*$P369)</f>
        <v/>
      </c>
      <c r="U369" s="15"/>
    </row>
    <row r="370" customFormat="false" ht="15" hidden="false" customHeight="false" outlineLevel="0" collapsed="false">
      <c r="I370" s="15"/>
      <c r="N370" s="16"/>
      <c r="O370" s="17" t="str">
        <f aca="false">IF(OR($N370="",$N370=0),"",MAX(MIN($N370,Aannames!$B$5)*Aannames!$C$5+MAX(0,MIN($N370,Aannames!$B$6)-Aannames!$B$5)*Aannames!$C$6+MAX(0,MIN($N370,Aannames!$B$7)-Aannames!$B$6)*Aannames!$C$7+MAX(0,$N370-Aannames!$B$7)*Aannames!$C$8,Aannames!$B$9)+Aannames!$B$10)</f>
        <v/>
      </c>
      <c r="P370" s="18" t="str">
        <f aca="false">IF($L370="","",IFERROR(_xlfn.SWITCH($L370,"M1",Aannames!$B$16,"M2",Aannames!$B$17,"M3",Aannames!$B$18,"M4",Aannames!$B$19),""))</f>
        <v/>
      </c>
      <c r="Q370" s="17" t="str">
        <f aca="false">IF(OR($O370="",$P370=""),"",IFERROR(_xlfn.SWITCH($L370,"M1",Aannames!$B$10,"M2",Aannames!$B$10+($O370-Aannames!$B$10)*Aannames!$B$12,"M3",Aannames!$B$10+($O370-Aannames!$B$10)*(Aannames!$B$12+Aannames!$B$13),"M4",$O370),0)+($O370-IFERROR(_xlfn.SWITCH($L370,"M1",Aannames!$B$10,"M2",Aannames!$B$10+($O370-Aannames!$B$10)*Aannames!$B$12,"M3",Aannames!$B$10+($O370-Aannames!$B$10)*(Aannames!$B$12+Aannames!$B$13),"M4",$O370),0))*$P370)</f>
        <v/>
      </c>
      <c r="U370" s="15"/>
    </row>
    <row r="371" customFormat="false" ht="15" hidden="false" customHeight="false" outlineLevel="0" collapsed="false">
      <c r="I371" s="15"/>
      <c r="N371" s="16"/>
      <c r="O371" s="17" t="str">
        <f aca="false">IF(OR($N371="",$N371=0),"",MAX(MIN($N371,Aannames!$B$5)*Aannames!$C$5+MAX(0,MIN($N371,Aannames!$B$6)-Aannames!$B$5)*Aannames!$C$6+MAX(0,MIN($N371,Aannames!$B$7)-Aannames!$B$6)*Aannames!$C$7+MAX(0,$N371-Aannames!$B$7)*Aannames!$C$8,Aannames!$B$9)+Aannames!$B$10)</f>
        <v/>
      </c>
      <c r="P371" s="18" t="str">
        <f aca="false">IF($L371="","",IFERROR(_xlfn.SWITCH($L371,"M1",Aannames!$B$16,"M2",Aannames!$B$17,"M3",Aannames!$B$18,"M4",Aannames!$B$19),""))</f>
        <v/>
      </c>
      <c r="Q371" s="17" t="str">
        <f aca="false">IF(OR($O371="",$P371=""),"",IFERROR(_xlfn.SWITCH($L371,"M1",Aannames!$B$10,"M2",Aannames!$B$10+($O371-Aannames!$B$10)*Aannames!$B$12,"M3",Aannames!$B$10+($O371-Aannames!$B$10)*(Aannames!$B$12+Aannames!$B$13),"M4",$O371),0)+($O371-IFERROR(_xlfn.SWITCH($L371,"M1",Aannames!$B$10,"M2",Aannames!$B$10+($O371-Aannames!$B$10)*Aannames!$B$12,"M3",Aannames!$B$10+($O371-Aannames!$B$10)*(Aannames!$B$12+Aannames!$B$13),"M4",$O371),0))*$P371)</f>
        <v/>
      </c>
      <c r="U371" s="15"/>
    </row>
    <row r="372" customFormat="false" ht="15" hidden="false" customHeight="false" outlineLevel="0" collapsed="false">
      <c r="I372" s="15"/>
      <c r="N372" s="16"/>
      <c r="O372" s="17" t="str">
        <f aca="false">IF(OR($N372="",$N372=0),"",MAX(MIN($N372,Aannames!$B$5)*Aannames!$C$5+MAX(0,MIN($N372,Aannames!$B$6)-Aannames!$B$5)*Aannames!$C$6+MAX(0,MIN($N372,Aannames!$B$7)-Aannames!$B$6)*Aannames!$C$7+MAX(0,$N372-Aannames!$B$7)*Aannames!$C$8,Aannames!$B$9)+Aannames!$B$10)</f>
        <v/>
      </c>
      <c r="P372" s="18" t="str">
        <f aca="false">IF($L372="","",IFERROR(_xlfn.SWITCH($L372,"M1",Aannames!$B$16,"M2",Aannames!$B$17,"M3",Aannames!$B$18,"M4",Aannames!$B$19),""))</f>
        <v/>
      </c>
      <c r="Q372" s="17" t="str">
        <f aca="false">IF(OR($O372="",$P372=""),"",IFERROR(_xlfn.SWITCH($L372,"M1",Aannames!$B$10,"M2",Aannames!$B$10+($O372-Aannames!$B$10)*Aannames!$B$12,"M3",Aannames!$B$10+($O372-Aannames!$B$10)*(Aannames!$B$12+Aannames!$B$13),"M4",$O372),0)+($O372-IFERROR(_xlfn.SWITCH($L372,"M1",Aannames!$B$10,"M2",Aannames!$B$10+($O372-Aannames!$B$10)*Aannames!$B$12,"M3",Aannames!$B$10+($O372-Aannames!$B$10)*(Aannames!$B$12+Aannames!$B$13),"M4",$O372),0))*$P372)</f>
        <v/>
      </c>
      <c r="U372" s="15"/>
    </row>
    <row r="373" customFormat="false" ht="15" hidden="false" customHeight="false" outlineLevel="0" collapsed="false">
      <c r="I373" s="15"/>
      <c r="N373" s="16"/>
      <c r="O373" s="17" t="str">
        <f aca="false">IF(OR($N373="",$N373=0),"",MAX(MIN($N373,Aannames!$B$5)*Aannames!$C$5+MAX(0,MIN($N373,Aannames!$B$6)-Aannames!$B$5)*Aannames!$C$6+MAX(0,MIN($N373,Aannames!$B$7)-Aannames!$B$6)*Aannames!$C$7+MAX(0,$N373-Aannames!$B$7)*Aannames!$C$8,Aannames!$B$9)+Aannames!$B$10)</f>
        <v/>
      </c>
      <c r="P373" s="18" t="str">
        <f aca="false">IF($L373="","",IFERROR(_xlfn.SWITCH($L373,"M1",Aannames!$B$16,"M2",Aannames!$B$17,"M3",Aannames!$B$18,"M4",Aannames!$B$19),""))</f>
        <v/>
      </c>
      <c r="Q373" s="17" t="str">
        <f aca="false">IF(OR($O373="",$P373=""),"",IFERROR(_xlfn.SWITCH($L373,"M1",Aannames!$B$10,"M2",Aannames!$B$10+($O373-Aannames!$B$10)*Aannames!$B$12,"M3",Aannames!$B$10+($O373-Aannames!$B$10)*(Aannames!$B$12+Aannames!$B$13),"M4",$O373),0)+($O373-IFERROR(_xlfn.SWITCH($L373,"M1",Aannames!$B$10,"M2",Aannames!$B$10+($O373-Aannames!$B$10)*Aannames!$B$12,"M3",Aannames!$B$10+($O373-Aannames!$B$10)*(Aannames!$B$12+Aannames!$B$13),"M4",$O373),0))*$P373)</f>
        <v/>
      </c>
      <c r="U373" s="15"/>
    </row>
    <row r="374" customFormat="false" ht="15" hidden="false" customHeight="false" outlineLevel="0" collapsed="false">
      <c r="I374" s="15"/>
      <c r="N374" s="16"/>
      <c r="O374" s="17" t="str">
        <f aca="false">IF(OR($N374="",$N374=0),"",MAX(MIN($N374,Aannames!$B$5)*Aannames!$C$5+MAX(0,MIN($N374,Aannames!$B$6)-Aannames!$B$5)*Aannames!$C$6+MAX(0,MIN($N374,Aannames!$B$7)-Aannames!$B$6)*Aannames!$C$7+MAX(0,$N374-Aannames!$B$7)*Aannames!$C$8,Aannames!$B$9)+Aannames!$B$10)</f>
        <v/>
      </c>
      <c r="P374" s="18" t="str">
        <f aca="false">IF($L374="","",IFERROR(_xlfn.SWITCH($L374,"M1",Aannames!$B$16,"M2",Aannames!$B$17,"M3",Aannames!$B$18,"M4",Aannames!$B$19),""))</f>
        <v/>
      </c>
      <c r="Q374" s="17" t="str">
        <f aca="false">IF(OR($O374="",$P374=""),"",IFERROR(_xlfn.SWITCH($L374,"M1",Aannames!$B$10,"M2",Aannames!$B$10+($O374-Aannames!$B$10)*Aannames!$B$12,"M3",Aannames!$B$10+($O374-Aannames!$B$10)*(Aannames!$B$12+Aannames!$B$13),"M4",$O374),0)+($O374-IFERROR(_xlfn.SWITCH($L374,"M1",Aannames!$B$10,"M2",Aannames!$B$10+($O374-Aannames!$B$10)*Aannames!$B$12,"M3",Aannames!$B$10+($O374-Aannames!$B$10)*(Aannames!$B$12+Aannames!$B$13),"M4",$O374),0))*$P374)</f>
        <v/>
      </c>
      <c r="U374" s="15"/>
    </row>
    <row r="375" customFormat="false" ht="15" hidden="false" customHeight="false" outlineLevel="0" collapsed="false">
      <c r="I375" s="15"/>
      <c r="N375" s="16"/>
      <c r="O375" s="17" t="str">
        <f aca="false">IF(OR($N375="",$N375=0),"",MAX(MIN($N375,Aannames!$B$5)*Aannames!$C$5+MAX(0,MIN($N375,Aannames!$B$6)-Aannames!$B$5)*Aannames!$C$6+MAX(0,MIN($N375,Aannames!$B$7)-Aannames!$B$6)*Aannames!$C$7+MAX(0,$N375-Aannames!$B$7)*Aannames!$C$8,Aannames!$B$9)+Aannames!$B$10)</f>
        <v/>
      </c>
      <c r="P375" s="18" t="str">
        <f aca="false">IF($L375="","",IFERROR(_xlfn.SWITCH($L375,"M1",Aannames!$B$16,"M2",Aannames!$B$17,"M3",Aannames!$B$18,"M4",Aannames!$B$19),""))</f>
        <v/>
      </c>
      <c r="Q375" s="17" t="str">
        <f aca="false">IF(OR($O375="",$P375=""),"",IFERROR(_xlfn.SWITCH($L375,"M1",Aannames!$B$10,"M2",Aannames!$B$10+($O375-Aannames!$B$10)*Aannames!$B$12,"M3",Aannames!$B$10+($O375-Aannames!$B$10)*(Aannames!$B$12+Aannames!$B$13),"M4",$O375),0)+($O375-IFERROR(_xlfn.SWITCH($L375,"M1",Aannames!$B$10,"M2",Aannames!$B$10+($O375-Aannames!$B$10)*Aannames!$B$12,"M3",Aannames!$B$10+($O375-Aannames!$B$10)*(Aannames!$B$12+Aannames!$B$13),"M4",$O375),0))*$P375)</f>
        <v/>
      </c>
      <c r="U375" s="15"/>
    </row>
    <row r="376" customFormat="false" ht="15" hidden="false" customHeight="false" outlineLevel="0" collapsed="false">
      <c r="I376" s="15"/>
      <c r="N376" s="16"/>
      <c r="O376" s="17" t="str">
        <f aca="false">IF(OR($N376="",$N376=0),"",MAX(MIN($N376,Aannames!$B$5)*Aannames!$C$5+MAX(0,MIN($N376,Aannames!$B$6)-Aannames!$B$5)*Aannames!$C$6+MAX(0,MIN($N376,Aannames!$B$7)-Aannames!$B$6)*Aannames!$C$7+MAX(0,$N376-Aannames!$B$7)*Aannames!$C$8,Aannames!$B$9)+Aannames!$B$10)</f>
        <v/>
      </c>
      <c r="P376" s="18" t="str">
        <f aca="false">IF($L376="","",IFERROR(_xlfn.SWITCH($L376,"M1",Aannames!$B$16,"M2",Aannames!$B$17,"M3",Aannames!$B$18,"M4",Aannames!$B$19),""))</f>
        <v/>
      </c>
      <c r="Q376" s="17" t="str">
        <f aca="false">IF(OR($O376="",$P376=""),"",IFERROR(_xlfn.SWITCH($L376,"M1",Aannames!$B$10,"M2",Aannames!$B$10+($O376-Aannames!$B$10)*Aannames!$B$12,"M3",Aannames!$B$10+($O376-Aannames!$B$10)*(Aannames!$B$12+Aannames!$B$13),"M4",$O376),0)+($O376-IFERROR(_xlfn.SWITCH($L376,"M1",Aannames!$B$10,"M2",Aannames!$B$10+($O376-Aannames!$B$10)*Aannames!$B$12,"M3",Aannames!$B$10+($O376-Aannames!$B$10)*(Aannames!$B$12+Aannames!$B$13),"M4",$O376),0))*$P376)</f>
        <v/>
      </c>
      <c r="U376" s="15"/>
    </row>
    <row r="377" customFormat="false" ht="15" hidden="false" customHeight="false" outlineLevel="0" collapsed="false">
      <c r="I377" s="15"/>
      <c r="N377" s="16"/>
      <c r="O377" s="17" t="str">
        <f aca="false">IF(OR($N377="",$N377=0),"",MAX(MIN($N377,Aannames!$B$5)*Aannames!$C$5+MAX(0,MIN($N377,Aannames!$B$6)-Aannames!$B$5)*Aannames!$C$6+MAX(0,MIN($N377,Aannames!$B$7)-Aannames!$B$6)*Aannames!$C$7+MAX(0,$N377-Aannames!$B$7)*Aannames!$C$8,Aannames!$B$9)+Aannames!$B$10)</f>
        <v/>
      </c>
      <c r="P377" s="18" t="str">
        <f aca="false">IF($L377="","",IFERROR(_xlfn.SWITCH($L377,"M1",Aannames!$B$16,"M2",Aannames!$B$17,"M3",Aannames!$B$18,"M4",Aannames!$B$19),""))</f>
        <v/>
      </c>
      <c r="Q377" s="17" t="str">
        <f aca="false">IF(OR($O377="",$P377=""),"",IFERROR(_xlfn.SWITCH($L377,"M1",Aannames!$B$10,"M2",Aannames!$B$10+($O377-Aannames!$B$10)*Aannames!$B$12,"M3",Aannames!$B$10+($O377-Aannames!$B$10)*(Aannames!$B$12+Aannames!$B$13),"M4",$O377),0)+($O377-IFERROR(_xlfn.SWITCH($L377,"M1",Aannames!$B$10,"M2",Aannames!$B$10+($O377-Aannames!$B$10)*Aannames!$B$12,"M3",Aannames!$B$10+($O377-Aannames!$B$10)*(Aannames!$B$12+Aannames!$B$13),"M4",$O377),0))*$P377)</f>
        <v/>
      </c>
      <c r="U377" s="15"/>
    </row>
    <row r="378" customFormat="false" ht="15" hidden="false" customHeight="false" outlineLevel="0" collapsed="false">
      <c r="I378" s="15"/>
      <c r="N378" s="16"/>
      <c r="O378" s="17" t="str">
        <f aca="false">IF(OR($N378="",$N378=0),"",MAX(MIN($N378,Aannames!$B$5)*Aannames!$C$5+MAX(0,MIN($N378,Aannames!$B$6)-Aannames!$B$5)*Aannames!$C$6+MAX(0,MIN($N378,Aannames!$B$7)-Aannames!$B$6)*Aannames!$C$7+MAX(0,$N378-Aannames!$B$7)*Aannames!$C$8,Aannames!$B$9)+Aannames!$B$10)</f>
        <v/>
      </c>
      <c r="P378" s="18" t="str">
        <f aca="false">IF($L378="","",IFERROR(_xlfn.SWITCH($L378,"M1",Aannames!$B$16,"M2",Aannames!$B$17,"M3",Aannames!$B$18,"M4",Aannames!$B$19),""))</f>
        <v/>
      </c>
      <c r="Q378" s="17" t="str">
        <f aca="false">IF(OR($O378="",$P378=""),"",IFERROR(_xlfn.SWITCH($L378,"M1",Aannames!$B$10,"M2",Aannames!$B$10+($O378-Aannames!$B$10)*Aannames!$B$12,"M3",Aannames!$B$10+($O378-Aannames!$B$10)*(Aannames!$B$12+Aannames!$B$13),"M4",$O378),0)+($O378-IFERROR(_xlfn.SWITCH($L378,"M1",Aannames!$B$10,"M2",Aannames!$B$10+($O378-Aannames!$B$10)*Aannames!$B$12,"M3",Aannames!$B$10+($O378-Aannames!$B$10)*(Aannames!$B$12+Aannames!$B$13),"M4",$O378),0))*$P378)</f>
        <v/>
      </c>
      <c r="U378" s="15"/>
    </row>
    <row r="379" customFormat="false" ht="15" hidden="false" customHeight="false" outlineLevel="0" collapsed="false">
      <c r="I379" s="15"/>
      <c r="N379" s="16"/>
      <c r="O379" s="17" t="str">
        <f aca="false">IF(OR($N379="",$N379=0),"",MAX(MIN($N379,Aannames!$B$5)*Aannames!$C$5+MAX(0,MIN($N379,Aannames!$B$6)-Aannames!$B$5)*Aannames!$C$6+MAX(0,MIN($N379,Aannames!$B$7)-Aannames!$B$6)*Aannames!$C$7+MAX(0,$N379-Aannames!$B$7)*Aannames!$C$8,Aannames!$B$9)+Aannames!$B$10)</f>
        <v/>
      </c>
      <c r="P379" s="18" t="str">
        <f aca="false">IF($L379="","",IFERROR(_xlfn.SWITCH($L379,"M1",Aannames!$B$16,"M2",Aannames!$B$17,"M3",Aannames!$B$18,"M4",Aannames!$B$19),""))</f>
        <v/>
      </c>
      <c r="Q379" s="17" t="str">
        <f aca="false">IF(OR($O379="",$P379=""),"",IFERROR(_xlfn.SWITCH($L379,"M1",Aannames!$B$10,"M2",Aannames!$B$10+($O379-Aannames!$B$10)*Aannames!$B$12,"M3",Aannames!$B$10+($O379-Aannames!$B$10)*(Aannames!$B$12+Aannames!$B$13),"M4",$O379),0)+($O379-IFERROR(_xlfn.SWITCH($L379,"M1",Aannames!$B$10,"M2",Aannames!$B$10+($O379-Aannames!$B$10)*Aannames!$B$12,"M3",Aannames!$B$10+($O379-Aannames!$B$10)*(Aannames!$B$12+Aannames!$B$13),"M4",$O379),0))*$P379)</f>
        <v/>
      </c>
      <c r="U379" s="15"/>
    </row>
    <row r="380" customFormat="false" ht="15" hidden="false" customHeight="false" outlineLevel="0" collapsed="false">
      <c r="I380" s="15"/>
      <c r="N380" s="16"/>
      <c r="O380" s="17" t="str">
        <f aca="false">IF(OR($N380="",$N380=0),"",MAX(MIN($N380,Aannames!$B$5)*Aannames!$C$5+MAX(0,MIN($N380,Aannames!$B$6)-Aannames!$B$5)*Aannames!$C$6+MAX(0,MIN($N380,Aannames!$B$7)-Aannames!$B$6)*Aannames!$C$7+MAX(0,$N380-Aannames!$B$7)*Aannames!$C$8,Aannames!$B$9)+Aannames!$B$10)</f>
        <v/>
      </c>
      <c r="P380" s="18" t="str">
        <f aca="false">IF($L380="","",IFERROR(_xlfn.SWITCH($L380,"M1",Aannames!$B$16,"M2",Aannames!$B$17,"M3",Aannames!$B$18,"M4",Aannames!$B$19),""))</f>
        <v/>
      </c>
      <c r="Q380" s="17" t="str">
        <f aca="false">IF(OR($O380="",$P380=""),"",IFERROR(_xlfn.SWITCH($L380,"M1",Aannames!$B$10,"M2",Aannames!$B$10+($O380-Aannames!$B$10)*Aannames!$B$12,"M3",Aannames!$B$10+($O380-Aannames!$B$10)*(Aannames!$B$12+Aannames!$B$13),"M4",$O380),0)+($O380-IFERROR(_xlfn.SWITCH($L380,"M1",Aannames!$B$10,"M2",Aannames!$B$10+($O380-Aannames!$B$10)*Aannames!$B$12,"M3",Aannames!$B$10+($O380-Aannames!$B$10)*(Aannames!$B$12+Aannames!$B$13),"M4",$O380),0))*$P380)</f>
        <v/>
      </c>
      <c r="U380" s="15"/>
    </row>
    <row r="381" customFormat="false" ht="15" hidden="false" customHeight="false" outlineLevel="0" collapsed="false">
      <c r="I381" s="15"/>
      <c r="N381" s="16"/>
      <c r="O381" s="17" t="str">
        <f aca="false">IF(OR($N381="",$N381=0),"",MAX(MIN($N381,Aannames!$B$5)*Aannames!$C$5+MAX(0,MIN($N381,Aannames!$B$6)-Aannames!$B$5)*Aannames!$C$6+MAX(0,MIN($N381,Aannames!$B$7)-Aannames!$B$6)*Aannames!$C$7+MAX(0,$N381-Aannames!$B$7)*Aannames!$C$8,Aannames!$B$9)+Aannames!$B$10)</f>
        <v/>
      </c>
      <c r="P381" s="18" t="str">
        <f aca="false">IF($L381="","",IFERROR(_xlfn.SWITCH($L381,"M1",Aannames!$B$16,"M2",Aannames!$B$17,"M3",Aannames!$B$18,"M4",Aannames!$B$19),""))</f>
        <v/>
      </c>
      <c r="Q381" s="17" t="str">
        <f aca="false">IF(OR($O381="",$P381=""),"",IFERROR(_xlfn.SWITCH($L381,"M1",Aannames!$B$10,"M2",Aannames!$B$10+($O381-Aannames!$B$10)*Aannames!$B$12,"M3",Aannames!$B$10+($O381-Aannames!$B$10)*(Aannames!$B$12+Aannames!$B$13),"M4",$O381),0)+($O381-IFERROR(_xlfn.SWITCH($L381,"M1",Aannames!$B$10,"M2",Aannames!$B$10+($O381-Aannames!$B$10)*Aannames!$B$12,"M3",Aannames!$B$10+($O381-Aannames!$B$10)*(Aannames!$B$12+Aannames!$B$13),"M4",$O381),0))*$P381)</f>
        <v/>
      </c>
      <c r="U381" s="15"/>
    </row>
    <row r="382" customFormat="false" ht="15" hidden="false" customHeight="false" outlineLevel="0" collapsed="false">
      <c r="I382" s="15"/>
      <c r="N382" s="16"/>
      <c r="O382" s="17" t="str">
        <f aca="false">IF(OR($N382="",$N382=0),"",MAX(MIN($N382,Aannames!$B$5)*Aannames!$C$5+MAX(0,MIN($N382,Aannames!$B$6)-Aannames!$B$5)*Aannames!$C$6+MAX(0,MIN($N382,Aannames!$B$7)-Aannames!$B$6)*Aannames!$C$7+MAX(0,$N382-Aannames!$B$7)*Aannames!$C$8,Aannames!$B$9)+Aannames!$B$10)</f>
        <v/>
      </c>
      <c r="P382" s="18" t="str">
        <f aca="false">IF($L382="","",IFERROR(_xlfn.SWITCH($L382,"M1",Aannames!$B$16,"M2",Aannames!$B$17,"M3",Aannames!$B$18,"M4",Aannames!$B$19),""))</f>
        <v/>
      </c>
      <c r="Q382" s="17" t="str">
        <f aca="false">IF(OR($O382="",$P382=""),"",IFERROR(_xlfn.SWITCH($L382,"M1",Aannames!$B$10,"M2",Aannames!$B$10+($O382-Aannames!$B$10)*Aannames!$B$12,"M3",Aannames!$B$10+($O382-Aannames!$B$10)*(Aannames!$B$12+Aannames!$B$13),"M4",$O382),0)+($O382-IFERROR(_xlfn.SWITCH($L382,"M1",Aannames!$B$10,"M2",Aannames!$B$10+($O382-Aannames!$B$10)*Aannames!$B$12,"M3",Aannames!$B$10+($O382-Aannames!$B$10)*(Aannames!$B$12+Aannames!$B$13),"M4",$O382),0))*$P382)</f>
        <v/>
      </c>
      <c r="U382" s="15"/>
    </row>
    <row r="383" customFormat="false" ht="15" hidden="false" customHeight="false" outlineLevel="0" collapsed="false">
      <c r="I383" s="15"/>
      <c r="N383" s="16"/>
      <c r="O383" s="17" t="str">
        <f aca="false">IF(OR($N383="",$N383=0),"",MAX(MIN($N383,Aannames!$B$5)*Aannames!$C$5+MAX(0,MIN($N383,Aannames!$B$6)-Aannames!$B$5)*Aannames!$C$6+MAX(0,MIN($N383,Aannames!$B$7)-Aannames!$B$6)*Aannames!$C$7+MAX(0,$N383-Aannames!$B$7)*Aannames!$C$8,Aannames!$B$9)+Aannames!$B$10)</f>
        <v/>
      </c>
      <c r="P383" s="18" t="str">
        <f aca="false">IF($L383="","",IFERROR(_xlfn.SWITCH($L383,"M1",Aannames!$B$16,"M2",Aannames!$B$17,"M3",Aannames!$B$18,"M4",Aannames!$B$19),""))</f>
        <v/>
      </c>
      <c r="Q383" s="17" t="str">
        <f aca="false">IF(OR($O383="",$P383=""),"",IFERROR(_xlfn.SWITCH($L383,"M1",Aannames!$B$10,"M2",Aannames!$B$10+($O383-Aannames!$B$10)*Aannames!$B$12,"M3",Aannames!$B$10+($O383-Aannames!$B$10)*(Aannames!$B$12+Aannames!$B$13),"M4",$O383),0)+($O383-IFERROR(_xlfn.SWITCH($L383,"M1",Aannames!$B$10,"M2",Aannames!$B$10+($O383-Aannames!$B$10)*Aannames!$B$12,"M3",Aannames!$B$10+($O383-Aannames!$B$10)*(Aannames!$B$12+Aannames!$B$13),"M4",$O383),0))*$P383)</f>
        <v/>
      </c>
      <c r="U383" s="15"/>
    </row>
    <row r="384" customFormat="false" ht="15" hidden="false" customHeight="false" outlineLevel="0" collapsed="false">
      <c r="I384" s="15"/>
      <c r="N384" s="16"/>
      <c r="O384" s="17" t="str">
        <f aca="false">IF(OR($N384="",$N384=0),"",MAX(MIN($N384,Aannames!$B$5)*Aannames!$C$5+MAX(0,MIN($N384,Aannames!$B$6)-Aannames!$B$5)*Aannames!$C$6+MAX(0,MIN($N384,Aannames!$B$7)-Aannames!$B$6)*Aannames!$C$7+MAX(0,$N384-Aannames!$B$7)*Aannames!$C$8,Aannames!$B$9)+Aannames!$B$10)</f>
        <v/>
      </c>
      <c r="P384" s="18" t="str">
        <f aca="false">IF($L384="","",IFERROR(_xlfn.SWITCH($L384,"M1",Aannames!$B$16,"M2",Aannames!$B$17,"M3",Aannames!$B$18,"M4",Aannames!$B$19),""))</f>
        <v/>
      </c>
      <c r="Q384" s="17" t="str">
        <f aca="false">IF(OR($O384="",$P384=""),"",IFERROR(_xlfn.SWITCH($L384,"M1",Aannames!$B$10,"M2",Aannames!$B$10+($O384-Aannames!$B$10)*Aannames!$B$12,"M3",Aannames!$B$10+($O384-Aannames!$B$10)*(Aannames!$B$12+Aannames!$B$13),"M4",$O384),0)+($O384-IFERROR(_xlfn.SWITCH($L384,"M1",Aannames!$B$10,"M2",Aannames!$B$10+($O384-Aannames!$B$10)*Aannames!$B$12,"M3",Aannames!$B$10+($O384-Aannames!$B$10)*(Aannames!$B$12+Aannames!$B$13),"M4",$O384),0))*$P384)</f>
        <v/>
      </c>
      <c r="U384" s="15"/>
    </row>
    <row r="385" customFormat="false" ht="15" hidden="false" customHeight="false" outlineLevel="0" collapsed="false">
      <c r="I385" s="15"/>
      <c r="N385" s="16"/>
      <c r="O385" s="17" t="str">
        <f aca="false">IF(OR($N385="",$N385=0),"",MAX(MIN($N385,Aannames!$B$5)*Aannames!$C$5+MAX(0,MIN($N385,Aannames!$B$6)-Aannames!$B$5)*Aannames!$C$6+MAX(0,MIN($N385,Aannames!$B$7)-Aannames!$B$6)*Aannames!$C$7+MAX(0,$N385-Aannames!$B$7)*Aannames!$C$8,Aannames!$B$9)+Aannames!$B$10)</f>
        <v/>
      </c>
      <c r="P385" s="18" t="str">
        <f aca="false">IF($L385="","",IFERROR(_xlfn.SWITCH($L385,"M1",Aannames!$B$16,"M2",Aannames!$B$17,"M3",Aannames!$B$18,"M4",Aannames!$B$19),""))</f>
        <v/>
      </c>
      <c r="Q385" s="17" t="str">
        <f aca="false">IF(OR($O385="",$P385=""),"",IFERROR(_xlfn.SWITCH($L385,"M1",Aannames!$B$10,"M2",Aannames!$B$10+($O385-Aannames!$B$10)*Aannames!$B$12,"M3",Aannames!$B$10+($O385-Aannames!$B$10)*(Aannames!$B$12+Aannames!$B$13),"M4",$O385),0)+($O385-IFERROR(_xlfn.SWITCH($L385,"M1",Aannames!$B$10,"M2",Aannames!$B$10+($O385-Aannames!$B$10)*Aannames!$B$12,"M3",Aannames!$B$10+($O385-Aannames!$B$10)*(Aannames!$B$12+Aannames!$B$13),"M4",$O385),0))*$P385)</f>
        <v/>
      </c>
      <c r="U385" s="15"/>
    </row>
    <row r="386" customFormat="false" ht="15" hidden="false" customHeight="false" outlineLevel="0" collapsed="false">
      <c r="I386" s="15"/>
      <c r="N386" s="16"/>
      <c r="O386" s="17" t="str">
        <f aca="false">IF(OR($N386="",$N386=0),"",MAX(MIN($N386,Aannames!$B$5)*Aannames!$C$5+MAX(0,MIN($N386,Aannames!$B$6)-Aannames!$B$5)*Aannames!$C$6+MAX(0,MIN($N386,Aannames!$B$7)-Aannames!$B$6)*Aannames!$C$7+MAX(0,$N386-Aannames!$B$7)*Aannames!$C$8,Aannames!$B$9)+Aannames!$B$10)</f>
        <v/>
      </c>
      <c r="P386" s="18" t="str">
        <f aca="false">IF($L386="","",IFERROR(_xlfn.SWITCH($L386,"M1",Aannames!$B$16,"M2",Aannames!$B$17,"M3",Aannames!$B$18,"M4",Aannames!$B$19),""))</f>
        <v/>
      </c>
      <c r="Q386" s="17" t="str">
        <f aca="false">IF(OR($O386="",$P386=""),"",IFERROR(_xlfn.SWITCH($L386,"M1",Aannames!$B$10,"M2",Aannames!$B$10+($O386-Aannames!$B$10)*Aannames!$B$12,"M3",Aannames!$B$10+($O386-Aannames!$B$10)*(Aannames!$B$12+Aannames!$B$13),"M4",$O386),0)+($O386-IFERROR(_xlfn.SWITCH($L386,"M1",Aannames!$B$10,"M2",Aannames!$B$10+($O386-Aannames!$B$10)*Aannames!$B$12,"M3",Aannames!$B$10+($O386-Aannames!$B$10)*(Aannames!$B$12+Aannames!$B$13),"M4",$O386),0))*$P386)</f>
        <v/>
      </c>
      <c r="U386" s="15"/>
    </row>
    <row r="387" customFormat="false" ht="15" hidden="false" customHeight="false" outlineLevel="0" collapsed="false">
      <c r="I387" s="15"/>
      <c r="N387" s="16"/>
      <c r="O387" s="17" t="str">
        <f aca="false">IF(OR($N387="",$N387=0),"",MAX(MIN($N387,Aannames!$B$5)*Aannames!$C$5+MAX(0,MIN($N387,Aannames!$B$6)-Aannames!$B$5)*Aannames!$C$6+MAX(0,MIN($N387,Aannames!$B$7)-Aannames!$B$6)*Aannames!$C$7+MAX(0,$N387-Aannames!$B$7)*Aannames!$C$8,Aannames!$B$9)+Aannames!$B$10)</f>
        <v/>
      </c>
      <c r="P387" s="18" t="str">
        <f aca="false">IF($L387="","",IFERROR(_xlfn.SWITCH($L387,"M1",Aannames!$B$16,"M2",Aannames!$B$17,"M3",Aannames!$B$18,"M4",Aannames!$B$19),""))</f>
        <v/>
      </c>
      <c r="Q387" s="17" t="str">
        <f aca="false">IF(OR($O387="",$P387=""),"",IFERROR(_xlfn.SWITCH($L387,"M1",Aannames!$B$10,"M2",Aannames!$B$10+($O387-Aannames!$B$10)*Aannames!$B$12,"M3",Aannames!$B$10+($O387-Aannames!$B$10)*(Aannames!$B$12+Aannames!$B$13),"M4",$O387),0)+($O387-IFERROR(_xlfn.SWITCH($L387,"M1",Aannames!$B$10,"M2",Aannames!$B$10+($O387-Aannames!$B$10)*Aannames!$B$12,"M3",Aannames!$B$10+($O387-Aannames!$B$10)*(Aannames!$B$12+Aannames!$B$13),"M4",$O387),0))*$P387)</f>
        <v/>
      </c>
      <c r="U387" s="15"/>
    </row>
    <row r="388" customFormat="false" ht="15" hidden="false" customHeight="false" outlineLevel="0" collapsed="false">
      <c r="I388" s="15"/>
      <c r="N388" s="16"/>
      <c r="O388" s="17" t="str">
        <f aca="false">IF(OR($N388="",$N388=0),"",MAX(MIN($N388,Aannames!$B$5)*Aannames!$C$5+MAX(0,MIN($N388,Aannames!$B$6)-Aannames!$B$5)*Aannames!$C$6+MAX(0,MIN($N388,Aannames!$B$7)-Aannames!$B$6)*Aannames!$C$7+MAX(0,$N388-Aannames!$B$7)*Aannames!$C$8,Aannames!$B$9)+Aannames!$B$10)</f>
        <v/>
      </c>
      <c r="P388" s="18" t="str">
        <f aca="false">IF($L388="","",IFERROR(_xlfn.SWITCH($L388,"M1",Aannames!$B$16,"M2",Aannames!$B$17,"M3",Aannames!$B$18,"M4",Aannames!$B$19),""))</f>
        <v/>
      </c>
      <c r="Q388" s="17" t="str">
        <f aca="false">IF(OR($O388="",$P388=""),"",IFERROR(_xlfn.SWITCH($L388,"M1",Aannames!$B$10,"M2",Aannames!$B$10+($O388-Aannames!$B$10)*Aannames!$B$12,"M3",Aannames!$B$10+($O388-Aannames!$B$10)*(Aannames!$B$12+Aannames!$B$13),"M4",$O388),0)+($O388-IFERROR(_xlfn.SWITCH($L388,"M1",Aannames!$B$10,"M2",Aannames!$B$10+($O388-Aannames!$B$10)*Aannames!$B$12,"M3",Aannames!$B$10+($O388-Aannames!$B$10)*(Aannames!$B$12+Aannames!$B$13),"M4",$O388),0))*$P388)</f>
        <v/>
      </c>
      <c r="U388" s="15"/>
    </row>
    <row r="389" customFormat="false" ht="15" hidden="false" customHeight="false" outlineLevel="0" collapsed="false">
      <c r="I389" s="15"/>
      <c r="N389" s="16"/>
      <c r="O389" s="17" t="str">
        <f aca="false">IF(OR($N389="",$N389=0),"",MAX(MIN($N389,Aannames!$B$5)*Aannames!$C$5+MAX(0,MIN($N389,Aannames!$B$6)-Aannames!$B$5)*Aannames!$C$6+MAX(0,MIN($N389,Aannames!$B$7)-Aannames!$B$6)*Aannames!$C$7+MAX(0,$N389-Aannames!$B$7)*Aannames!$C$8,Aannames!$B$9)+Aannames!$B$10)</f>
        <v/>
      </c>
      <c r="P389" s="18" t="str">
        <f aca="false">IF($L389="","",IFERROR(_xlfn.SWITCH($L389,"M1",Aannames!$B$16,"M2",Aannames!$B$17,"M3",Aannames!$B$18,"M4",Aannames!$B$19),""))</f>
        <v/>
      </c>
      <c r="Q389" s="17" t="str">
        <f aca="false">IF(OR($O389="",$P389=""),"",IFERROR(_xlfn.SWITCH($L389,"M1",Aannames!$B$10,"M2",Aannames!$B$10+($O389-Aannames!$B$10)*Aannames!$B$12,"M3",Aannames!$B$10+($O389-Aannames!$B$10)*(Aannames!$B$12+Aannames!$B$13),"M4",$O389),0)+($O389-IFERROR(_xlfn.SWITCH($L389,"M1",Aannames!$B$10,"M2",Aannames!$B$10+($O389-Aannames!$B$10)*Aannames!$B$12,"M3",Aannames!$B$10+($O389-Aannames!$B$10)*(Aannames!$B$12+Aannames!$B$13),"M4",$O389),0))*$P389)</f>
        <v/>
      </c>
      <c r="U389" s="15"/>
    </row>
    <row r="390" customFormat="false" ht="15" hidden="false" customHeight="false" outlineLevel="0" collapsed="false">
      <c r="I390" s="15"/>
      <c r="N390" s="16"/>
      <c r="O390" s="17" t="str">
        <f aca="false">IF(OR($N390="",$N390=0),"",MAX(MIN($N390,Aannames!$B$5)*Aannames!$C$5+MAX(0,MIN($N390,Aannames!$B$6)-Aannames!$B$5)*Aannames!$C$6+MAX(0,MIN($N390,Aannames!$B$7)-Aannames!$B$6)*Aannames!$C$7+MAX(0,$N390-Aannames!$B$7)*Aannames!$C$8,Aannames!$B$9)+Aannames!$B$10)</f>
        <v/>
      </c>
      <c r="P390" s="18" t="str">
        <f aca="false">IF($L390="","",IFERROR(_xlfn.SWITCH($L390,"M1",Aannames!$B$16,"M2",Aannames!$B$17,"M3",Aannames!$B$18,"M4",Aannames!$B$19),""))</f>
        <v/>
      </c>
      <c r="Q390" s="17" t="str">
        <f aca="false">IF(OR($O390="",$P390=""),"",IFERROR(_xlfn.SWITCH($L390,"M1",Aannames!$B$10,"M2",Aannames!$B$10+($O390-Aannames!$B$10)*Aannames!$B$12,"M3",Aannames!$B$10+($O390-Aannames!$B$10)*(Aannames!$B$12+Aannames!$B$13),"M4",$O390),0)+($O390-IFERROR(_xlfn.SWITCH($L390,"M1",Aannames!$B$10,"M2",Aannames!$B$10+($O390-Aannames!$B$10)*Aannames!$B$12,"M3",Aannames!$B$10+($O390-Aannames!$B$10)*(Aannames!$B$12+Aannames!$B$13),"M4",$O390),0))*$P390)</f>
        <v/>
      </c>
      <c r="U390" s="15"/>
    </row>
    <row r="391" customFormat="false" ht="15" hidden="false" customHeight="false" outlineLevel="0" collapsed="false">
      <c r="I391" s="15"/>
      <c r="N391" s="16"/>
      <c r="O391" s="17" t="str">
        <f aca="false">IF(OR($N391="",$N391=0),"",MAX(MIN($N391,Aannames!$B$5)*Aannames!$C$5+MAX(0,MIN($N391,Aannames!$B$6)-Aannames!$B$5)*Aannames!$C$6+MAX(0,MIN($N391,Aannames!$B$7)-Aannames!$B$6)*Aannames!$C$7+MAX(0,$N391-Aannames!$B$7)*Aannames!$C$8,Aannames!$B$9)+Aannames!$B$10)</f>
        <v/>
      </c>
      <c r="P391" s="18" t="str">
        <f aca="false">IF($L391="","",IFERROR(_xlfn.SWITCH($L391,"M1",Aannames!$B$16,"M2",Aannames!$B$17,"M3",Aannames!$B$18,"M4",Aannames!$B$19),""))</f>
        <v/>
      </c>
      <c r="Q391" s="17" t="str">
        <f aca="false">IF(OR($O391="",$P391=""),"",IFERROR(_xlfn.SWITCH($L391,"M1",Aannames!$B$10,"M2",Aannames!$B$10+($O391-Aannames!$B$10)*Aannames!$B$12,"M3",Aannames!$B$10+($O391-Aannames!$B$10)*(Aannames!$B$12+Aannames!$B$13),"M4",$O391),0)+($O391-IFERROR(_xlfn.SWITCH($L391,"M1",Aannames!$B$10,"M2",Aannames!$B$10+($O391-Aannames!$B$10)*Aannames!$B$12,"M3",Aannames!$B$10+($O391-Aannames!$B$10)*(Aannames!$B$12+Aannames!$B$13),"M4",$O391),0))*$P391)</f>
        <v/>
      </c>
      <c r="U391" s="15"/>
    </row>
    <row r="392" customFormat="false" ht="15" hidden="false" customHeight="false" outlineLevel="0" collapsed="false">
      <c r="I392" s="15"/>
      <c r="N392" s="16"/>
      <c r="O392" s="17" t="str">
        <f aca="false">IF(OR($N392="",$N392=0),"",MAX(MIN($N392,Aannames!$B$5)*Aannames!$C$5+MAX(0,MIN($N392,Aannames!$B$6)-Aannames!$B$5)*Aannames!$C$6+MAX(0,MIN($N392,Aannames!$B$7)-Aannames!$B$6)*Aannames!$C$7+MAX(0,$N392-Aannames!$B$7)*Aannames!$C$8,Aannames!$B$9)+Aannames!$B$10)</f>
        <v/>
      </c>
      <c r="P392" s="18" t="str">
        <f aca="false">IF($L392="","",IFERROR(_xlfn.SWITCH($L392,"M1",Aannames!$B$16,"M2",Aannames!$B$17,"M3",Aannames!$B$18,"M4",Aannames!$B$19),""))</f>
        <v/>
      </c>
      <c r="Q392" s="17" t="str">
        <f aca="false">IF(OR($O392="",$P392=""),"",IFERROR(_xlfn.SWITCH($L392,"M1",Aannames!$B$10,"M2",Aannames!$B$10+($O392-Aannames!$B$10)*Aannames!$B$12,"M3",Aannames!$B$10+($O392-Aannames!$B$10)*(Aannames!$B$12+Aannames!$B$13),"M4",$O392),0)+($O392-IFERROR(_xlfn.SWITCH($L392,"M1",Aannames!$B$10,"M2",Aannames!$B$10+($O392-Aannames!$B$10)*Aannames!$B$12,"M3",Aannames!$B$10+($O392-Aannames!$B$10)*(Aannames!$B$12+Aannames!$B$13),"M4",$O392),0))*$P392)</f>
        <v/>
      </c>
      <c r="U392" s="15"/>
    </row>
    <row r="393" customFormat="false" ht="15" hidden="false" customHeight="false" outlineLevel="0" collapsed="false">
      <c r="I393" s="15"/>
      <c r="N393" s="16"/>
      <c r="O393" s="17" t="str">
        <f aca="false">IF(OR($N393="",$N393=0),"",MAX(MIN($N393,Aannames!$B$5)*Aannames!$C$5+MAX(0,MIN($N393,Aannames!$B$6)-Aannames!$B$5)*Aannames!$C$6+MAX(0,MIN($N393,Aannames!$B$7)-Aannames!$B$6)*Aannames!$C$7+MAX(0,$N393-Aannames!$B$7)*Aannames!$C$8,Aannames!$B$9)+Aannames!$B$10)</f>
        <v/>
      </c>
      <c r="P393" s="18" t="str">
        <f aca="false">IF($L393="","",IFERROR(_xlfn.SWITCH($L393,"M1",Aannames!$B$16,"M2",Aannames!$B$17,"M3",Aannames!$B$18,"M4",Aannames!$B$19),""))</f>
        <v/>
      </c>
      <c r="Q393" s="17" t="str">
        <f aca="false">IF(OR($O393="",$P393=""),"",IFERROR(_xlfn.SWITCH($L393,"M1",Aannames!$B$10,"M2",Aannames!$B$10+($O393-Aannames!$B$10)*Aannames!$B$12,"M3",Aannames!$B$10+($O393-Aannames!$B$10)*(Aannames!$B$12+Aannames!$B$13),"M4",$O393),0)+($O393-IFERROR(_xlfn.SWITCH($L393,"M1",Aannames!$B$10,"M2",Aannames!$B$10+($O393-Aannames!$B$10)*Aannames!$B$12,"M3",Aannames!$B$10+($O393-Aannames!$B$10)*(Aannames!$B$12+Aannames!$B$13),"M4",$O393),0))*$P393)</f>
        <v/>
      </c>
      <c r="U393" s="15"/>
    </row>
    <row r="394" customFormat="false" ht="15" hidden="false" customHeight="false" outlineLevel="0" collapsed="false">
      <c r="I394" s="15"/>
      <c r="N394" s="16"/>
      <c r="O394" s="17" t="str">
        <f aca="false">IF(OR($N394="",$N394=0),"",MAX(MIN($N394,Aannames!$B$5)*Aannames!$C$5+MAX(0,MIN($N394,Aannames!$B$6)-Aannames!$B$5)*Aannames!$C$6+MAX(0,MIN($N394,Aannames!$B$7)-Aannames!$B$6)*Aannames!$C$7+MAX(0,$N394-Aannames!$B$7)*Aannames!$C$8,Aannames!$B$9)+Aannames!$B$10)</f>
        <v/>
      </c>
      <c r="P394" s="18" t="str">
        <f aca="false">IF($L394="","",IFERROR(_xlfn.SWITCH($L394,"M1",Aannames!$B$16,"M2",Aannames!$B$17,"M3",Aannames!$B$18,"M4",Aannames!$B$19),""))</f>
        <v/>
      </c>
      <c r="Q394" s="17" t="str">
        <f aca="false">IF(OR($O394="",$P394=""),"",IFERROR(_xlfn.SWITCH($L394,"M1",Aannames!$B$10,"M2",Aannames!$B$10+($O394-Aannames!$B$10)*Aannames!$B$12,"M3",Aannames!$B$10+($O394-Aannames!$B$10)*(Aannames!$B$12+Aannames!$B$13),"M4",$O394),0)+($O394-IFERROR(_xlfn.SWITCH($L394,"M1",Aannames!$B$10,"M2",Aannames!$B$10+($O394-Aannames!$B$10)*Aannames!$B$12,"M3",Aannames!$B$10+($O394-Aannames!$B$10)*(Aannames!$B$12+Aannames!$B$13),"M4",$O394),0))*$P394)</f>
        <v/>
      </c>
      <c r="U394" s="15"/>
    </row>
    <row r="395" customFormat="false" ht="15" hidden="false" customHeight="false" outlineLevel="0" collapsed="false">
      <c r="I395" s="15"/>
      <c r="N395" s="16"/>
      <c r="O395" s="17" t="str">
        <f aca="false">IF(OR($N395="",$N395=0),"",MAX(MIN($N395,Aannames!$B$5)*Aannames!$C$5+MAX(0,MIN($N395,Aannames!$B$6)-Aannames!$B$5)*Aannames!$C$6+MAX(0,MIN($N395,Aannames!$B$7)-Aannames!$B$6)*Aannames!$C$7+MAX(0,$N395-Aannames!$B$7)*Aannames!$C$8,Aannames!$B$9)+Aannames!$B$10)</f>
        <v/>
      </c>
      <c r="P395" s="18" t="str">
        <f aca="false">IF($L395="","",IFERROR(_xlfn.SWITCH($L395,"M1",Aannames!$B$16,"M2",Aannames!$B$17,"M3",Aannames!$B$18,"M4",Aannames!$B$19),""))</f>
        <v/>
      </c>
      <c r="Q395" s="17" t="str">
        <f aca="false">IF(OR($O395="",$P395=""),"",IFERROR(_xlfn.SWITCH($L395,"M1",Aannames!$B$10,"M2",Aannames!$B$10+($O395-Aannames!$B$10)*Aannames!$B$12,"M3",Aannames!$B$10+($O395-Aannames!$B$10)*(Aannames!$B$12+Aannames!$B$13),"M4",$O395),0)+($O395-IFERROR(_xlfn.SWITCH($L395,"M1",Aannames!$B$10,"M2",Aannames!$B$10+($O395-Aannames!$B$10)*Aannames!$B$12,"M3",Aannames!$B$10+($O395-Aannames!$B$10)*(Aannames!$B$12+Aannames!$B$13),"M4",$O395),0))*$P395)</f>
        <v/>
      </c>
      <c r="U395" s="15"/>
    </row>
    <row r="396" customFormat="false" ht="15" hidden="false" customHeight="false" outlineLevel="0" collapsed="false">
      <c r="I396" s="15"/>
      <c r="N396" s="16"/>
      <c r="O396" s="17" t="str">
        <f aca="false">IF(OR($N396="",$N396=0),"",MAX(MIN($N396,Aannames!$B$5)*Aannames!$C$5+MAX(0,MIN($N396,Aannames!$B$6)-Aannames!$B$5)*Aannames!$C$6+MAX(0,MIN($N396,Aannames!$B$7)-Aannames!$B$6)*Aannames!$C$7+MAX(0,$N396-Aannames!$B$7)*Aannames!$C$8,Aannames!$B$9)+Aannames!$B$10)</f>
        <v/>
      </c>
      <c r="P396" s="18" t="str">
        <f aca="false">IF($L396="","",IFERROR(_xlfn.SWITCH($L396,"M1",Aannames!$B$16,"M2",Aannames!$B$17,"M3",Aannames!$B$18,"M4",Aannames!$B$19),""))</f>
        <v/>
      </c>
      <c r="Q396" s="17" t="str">
        <f aca="false">IF(OR($O396="",$P396=""),"",IFERROR(_xlfn.SWITCH($L396,"M1",Aannames!$B$10,"M2",Aannames!$B$10+($O396-Aannames!$B$10)*Aannames!$B$12,"M3",Aannames!$B$10+($O396-Aannames!$B$10)*(Aannames!$B$12+Aannames!$B$13),"M4",$O396),0)+($O396-IFERROR(_xlfn.SWITCH($L396,"M1",Aannames!$B$10,"M2",Aannames!$B$10+($O396-Aannames!$B$10)*Aannames!$B$12,"M3",Aannames!$B$10+($O396-Aannames!$B$10)*(Aannames!$B$12+Aannames!$B$13),"M4",$O396),0))*$P396)</f>
        <v/>
      </c>
      <c r="U396" s="15"/>
    </row>
    <row r="397" customFormat="false" ht="15" hidden="false" customHeight="false" outlineLevel="0" collapsed="false">
      <c r="I397" s="15"/>
      <c r="N397" s="16"/>
      <c r="O397" s="17" t="str">
        <f aca="false">IF(OR($N397="",$N397=0),"",MAX(MIN($N397,Aannames!$B$5)*Aannames!$C$5+MAX(0,MIN($N397,Aannames!$B$6)-Aannames!$B$5)*Aannames!$C$6+MAX(0,MIN($N397,Aannames!$B$7)-Aannames!$B$6)*Aannames!$C$7+MAX(0,$N397-Aannames!$B$7)*Aannames!$C$8,Aannames!$B$9)+Aannames!$B$10)</f>
        <v/>
      </c>
      <c r="P397" s="18" t="str">
        <f aca="false">IF($L397="","",IFERROR(_xlfn.SWITCH($L397,"M1",Aannames!$B$16,"M2",Aannames!$B$17,"M3",Aannames!$B$18,"M4",Aannames!$B$19),""))</f>
        <v/>
      </c>
      <c r="Q397" s="17" t="str">
        <f aca="false">IF(OR($O397="",$P397=""),"",IFERROR(_xlfn.SWITCH($L397,"M1",Aannames!$B$10,"M2",Aannames!$B$10+($O397-Aannames!$B$10)*Aannames!$B$12,"M3",Aannames!$B$10+($O397-Aannames!$B$10)*(Aannames!$B$12+Aannames!$B$13),"M4",$O397),0)+($O397-IFERROR(_xlfn.SWITCH($L397,"M1",Aannames!$B$10,"M2",Aannames!$B$10+($O397-Aannames!$B$10)*Aannames!$B$12,"M3",Aannames!$B$10+($O397-Aannames!$B$10)*(Aannames!$B$12+Aannames!$B$13),"M4",$O397),0))*$P397)</f>
        <v/>
      </c>
      <c r="U397" s="15"/>
    </row>
    <row r="398" customFormat="false" ht="15" hidden="false" customHeight="false" outlineLevel="0" collapsed="false">
      <c r="I398" s="15"/>
      <c r="N398" s="16"/>
      <c r="O398" s="17" t="str">
        <f aca="false">IF(OR($N398="",$N398=0),"",MAX(MIN($N398,Aannames!$B$5)*Aannames!$C$5+MAX(0,MIN($N398,Aannames!$B$6)-Aannames!$B$5)*Aannames!$C$6+MAX(0,MIN($N398,Aannames!$B$7)-Aannames!$B$6)*Aannames!$C$7+MAX(0,$N398-Aannames!$B$7)*Aannames!$C$8,Aannames!$B$9)+Aannames!$B$10)</f>
        <v/>
      </c>
      <c r="P398" s="18" t="str">
        <f aca="false">IF($L398="","",IFERROR(_xlfn.SWITCH($L398,"M1",Aannames!$B$16,"M2",Aannames!$B$17,"M3",Aannames!$B$18,"M4",Aannames!$B$19),""))</f>
        <v/>
      </c>
      <c r="Q398" s="17" t="str">
        <f aca="false">IF(OR($O398="",$P398=""),"",IFERROR(_xlfn.SWITCH($L398,"M1",Aannames!$B$10,"M2",Aannames!$B$10+($O398-Aannames!$B$10)*Aannames!$B$12,"M3",Aannames!$B$10+($O398-Aannames!$B$10)*(Aannames!$B$12+Aannames!$B$13),"M4",$O398),0)+($O398-IFERROR(_xlfn.SWITCH($L398,"M1",Aannames!$B$10,"M2",Aannames!$B$10+($O398-Aannames!$B$10)*Aannames!$B$12,"M3",Aannames!$B$10+($O398-Aannames!$B$10)*(Aannames!$B$12+Aannames!$B$13),"M4",$O398),0))*$P398)</f>
        <v/>
      </c>
      <c r="U398" s="15"/>
    </row>
    <row r="399" customFormat="false" ht="15" hidden="false" customHeight="false" outlineLevel="0" collapsed="false">
      <c r="I399" s="15"/>
      <c r="N399" s="16"/>
      <c r="O399" s="17" t="str">
        <f aca="false">IF(OR($N399="",$N399=0),"",MAX(MIN($N399,Aannames!$B$5)*Aannames!$C$5+MAX(0,MIN($N399,Aannames!$B$6)-Aannames!$B$5)*Aannames!$C$6+MAX(0,MIN($N399,Aannames!$B$7)-Aannames!$B$6)*Aannames!$C$7+MAX(0,$N399-Aannames!$B$7)*Aannames!$C$8,Aannames!$B$9)+Aannames!$B$10)</f>
        <v/>
      </c>
      <c r="P399" s="18" t="str">
        <f aca="false">IF($L399="","",IFERROR(_xlfn.SWITCH($L399,"M1",Aannames!$B$16,"M2",Aannames!$B$17,"M3",Aannames!$B$18,"M4",Aannames!$B$19),""))</f>
        <v/>
      </c>
      <c r="Q399" s="17" t="str">
        <f aca="false">IF(OR($O399="",$P399=""),"",IFERROR(_xlfn.SWITCH($L399,"M1",Aannames!$B$10,"M2",Aannames!$B$10+($O399-Aannames!$B$10)*Aannames!$B$12,"M3",Aannames!$B$10+($O399-Aannames!$B$10)*(Aannames!$B$12+Aannames!$B$13),"M4",$O399),0)+($O399-IFERROR(_xlfn.SWITCH($L399,"M1",Aannames!$B$10,"M2",Aannames!$B$10+($O399-Aannames!$B$10)*Aannames!$B$12,"M3",Aannames!$B$10+($O399-Aannames!$B$10)*(Aannames!$B$12+Aannames!$B$13),"M4",$O399),0))*$P399)</f>
        <v/>
      </c>
      <c r="U399" s="15"/>
    </row>
    <row r="400" customFormat="false" ht="15" hidden="false" customHeight="false" outlineLevel="0" collapsed="false">
      <c r="I400" s="15"/>
      <c r="N400" s="16"/>
      <c r="O400" s="17" t="str">
        <f aca="false">IF(OR($N400="",$N400=0),"",MAX(MIN($N400,Aannames!$B$5)*Aannames!$C$5+MAX(0,MIN($N400,Aannames!$B$6)-Aannames!$B$5)*Aannames!$C$6+MAX(0,MIN($N400,Aannames!$B$7)-Aannames!$B$6)*Aannames!$C$7+MAX(0,$N400-Aannames!$B$7)*Aannames!$C$8,Aannames!$B$9)+Aannames!$B$10)</f>
        <v/>
      </c>
      <c r="P400" s="18" t="str">
        <f aca="false">IF($L400="","",IFERROR(_xlfn.SWITCH($L400,"M1",Aannames!$B$16,"M2",Aannames!$B$17,"M3",Aannames!$B$18,"M4",Aannames!$B$19),""))</f>
        <v/>
      </c>
      <c r="Q400" s="17" t="str">
        <f aca="false">IF(OR($O400="",$P400=""),"",IFERROR(_xlfn.SWITCH($L400,"M1",Aannames!$B$10,"M2",Aannames!$B$10+($O400-Aannames!$B$10)*Aannames!$B$12,"M3",Aannames!$B$10+($O400-Aannames!$B$10)*(Aannames!$B$12+Aannames!$B$13),"M4",$O400),0)+($O400-IFERROR(_xlfn.SWITCH($L400,"M1",Aannames!$B$10,"M2",Aannames!$B$10+($O400-Aannames!$B$10)*Aannames!$B$12,"M3",Aannames!$B$10+($O400-Aannames!$B$10)*(Aannames!$B$12+Aannames!$B$13),"M4",$O400),0))*$P400)</f>
        <v/>
      </c>
      <c r="U400" s="15"/>
    </row>
    <row r="401" customFormat="false" ht="15" hidden="false" customHeight="false" outlineLevel="0" collapsed="false">
      <c r="I401" s="15"/>
      <c r="N401" s="16"/>
      <c r="O401" s="17" t="str">
        <f aca="false">IF(OR($N401="",$N401=0),"",MAX(MIN($N401,Aannames!$B$5)*Aannames!$C$5+MAX(0,MIN($N401,Aannames!$B$6)-Aannames!$B$5)*Aannames!$C$6+MAX(0,MIN($N401,Aannames!$B$7)-Aannames!$B$6)*Aannames!$C$7+MAX(0,$N401-Aannames!$B$7)*Aannames!$C$8,Aannames!$B$9)+Aannames!$B$10)</f>
        <v/>
      </c>
      <c r="P401" s="18" t="str">
        <f aca="false">IF($L401="","",IFERROR(_xlfn.SWITCH($L401,"M1",Aannames!$B$16,"M2",Aannames!$B$17,"M3",Aannames!$B$18,"M4",Aannames!$B$19),""))</f>
        <v/>
      </c>
      <c r="Q401" s="17" t="str">
        <f aca="false">IF(OR($O401="",$P401=""),"",IFERROR(_xlfn.SWITCH($L401,"M1",Aannames!$B$10,"M2",Aannames!$B$10+($O401-Aannames!$B$10)*Aannames!$B$12,"M3",Aannames!$B$10+($O401-Aannames!$B$10)*(Aannames!$B$12+Aannames!$B$13),"M4",$O401),0)+($O401-IFERROR(_xlfn.SWITCH($L401,"M1",Aannames!$B$10,"M2",Aannames!$B$10+($O401-Aannames!$B$10)*Aannames!$B$12,"M3",Aannames!$B$10+($O401-Aannames!$B$10)*(Aannames!$B$12+Aannames!$B$13),"M4",$O401),0))*$P401)</f>
        <v/>
      </c>
      <c r="U401" s="15"/>
    </row>
    <row r="402" customFormat="false" ht="15" hidden="false" customHeight="false" outlineLevel="0" collapsed="false">
      <c r="I402" s="15"/>
      <c r="N402" s="16"/>
      <c r="O402" s="17" t="str">
        <f aca="false">IF(OR($N402="",$N402=0),"",MAX(MIN($N402,Aannames!$B$5)*Aannames!$C$5+MAX(0,MIN($N402,Aannames!$B$6)-Aannames!$B$5)*Aannames!$C$6+MAX(0,MIN($N402,Aannames!$B$7)-Aannames!$B$6)*Aannames!$C$7+MAX(0,$N402-Aannames!$B$7)*Aannames!$C$8,Aannames!$B$9)+Aannames!$B$10)</f>
        <v/>
      </c>
      <c r="P402" s="18" t="str">
        <f aca="false">IF($L402="","",IFERROR(_xlfn.SWITCH($L402,"M1",Aannames!$B$16,"M2",Aannames!$B$17,"M3",Aannames!$B$18,"M4",Aannames!$B$19),""))</f>
        <v/>
      </c>
      <c r="Q402" s="17" t="str">
        <f aca="false">IF(OR($O402="",$P402=""),"",IFERROR(_xlfn.SWITCH($L402,"M1",Aannames!$B$10,"M2",Aannames!$B$10+($O402-Aannames!$B$10)*Aannames!$B$12,"M3",Aannames!$B$10+($O402-Aannames!$B$10)*(Aannames!$B$12+Aannames!$B$13),"M4",$O402),0)+($O402-IFERROR(_xlfn.SWITCH($L402,"M1",Aannames!$B$10,"M2",Aannames!$B$10+($O402-Aannames!$B$10)*Aannames!$B$12,"M3",Aannames!$B$10+($O402-Aannames!$B$10)*(Aannames!$B$12+Aannames!$B$13),"M4",$O402),0))*$P402)</f>
        <v/>
      </c>
      <c r="U402" s="15"/>
    </row>
    <row r="403" customFormat="false" ht="15" hidden="false" customHeight="false" outlineLevel="0" collapsed="false">
      <c r="I403" s="15"/>
      <c r="N403" s="16"/>
      <c r="O403" s="17" t="str">
        <f aca="false">IF(OR($N403="",$N403=0),"",MAX(MIN($N403,Aannames!$B$5)*Aannames!$C$5+MAX(0,MIN($N403,Aannames!$B$6)-Aannames!$B$5)*Aannames!$C$6+MAX(0,MIN($N403,Aannames!$B$7)-Aannames!$B$6)*Aannames!$C$7+MAX(0,$N403-Aannames!$B$7)*Aannames!$C$8,Aannames!$B$9)+Aannames!$B$10)</f>
        <v/>
      </c>
      <c r="P403" s="18" t="str">
        <f aca="false">IF($L403="","",IFERROR(_xlfn.SWITCH($L403,"M1",Aannames!$B$16,"M2",Aannames!$B$17,"M3",Aannames!$B$18,"M4",Aannames!$B$19),""))</f>
        <v/>
      </c>
      <c r="Q403" s="17" t="str">
        <f aca="false">IF(OR($O403="",$P403=""),"",IFERROR(_xlfn.SWITCH($L403,"M1",Aannames!$B$10,"M2",Aannames!$B$10+($O403-Aannames!$B$10)*Aannames!$B$12,"M3",Aannames!$B$10+($O403-Aannames!$B$10)*(Aannames!$B$12+Aannames!$B$13),"M4",$O403),0)+($O403-IFERROR(_xlfn.SWITCH($L403,"M1",Aannames!$B$10,"M2",Aannames!$B$10+($O403-Aannames!$B$10)*Aannames!$B$12,"M3",Aannames!$B$10+($O403-Aannames!$B$10)*(Aannames!$B$12+Aannames!$B$13),"M4",$O403),0))*$P403)</f>
        <v/>
      </c>
      <c r="U403" s="15"/>
    </row>
    <row r="404" customFormat="false" ht="15" hidden="false" customHeight="false" outlineLevel="0" collapsed="false">
      <c r="I404" s="15"/>
      <c r="N404" s="16"/>
      <c r="O404" s="17" t="str">
        <f aca="false">IF(OR($N404="",$N404=0),"",MAX(MIN($N404,Aannames!$B$5)*Aannames!$C$5+MAX(0,MIN($N404,Aannames!$B$6)-Aannames!$B$5)*Aannames!$C$6+MAX(0,MIN($N404,Aannames!$B$7)-Aannames!$B$6)*Aannames!$C$7+MAX(0,$N404-Aannames!$B$7)*Aannames!$C$8,Aannames!$B$9)+Aannames!$B$10)</f>
        <v/>
      </c>
      <c r="P404" s="18" t="str">
        <f aca="false">IF($L404="","",IFERROR(_xlfn.SWITCH($L404,"M1",Aannames!$B$16,"M2",Aannames!$B$17,"M3",Aannames!$B$18,"M4",Aannames!$B$19),""))</f>
        <v/>
      </c>
      <c r="Q404" s="17" t="str">
        <f aca="false">IF(OR($O404="",$P404=""),"",IFERROR(_xlfn.SWITCH($L404,"M1",Aannames!$B$10,"M2",Aannames!$B$10+($O404-Aannames!$B$10)*Aannames!$B$12,"M3",Aannames!$B$10+($O404-Aannames!$B$10)*(Aannames!$B$12+Aannames!$B$13),"M4",$O404),0)+($O404-IFERROR(_xlfn.SWITCH($L404,"M1",Aannames!$B$10,"M2",Aannames!$B$10+($O404-Aannames!$B$10)*Aannames!$B$12,"M3",Aannames!$B$10+($O404-Aannames!$B$10)*(Aannames!$B$12+Aannames!$B$13),"M4",$O404),0))*$P404)</f>
        <v/>
      </c>
      <c r="U404" s="15"/>
    </row>
    <row r="405" customFormat="false" ht="15" hidden="false" customHeight="false" outlineLevel="0" collapsed="false">
      <c r="I405" s="15"/>
      <c r="N405" s="16"/>
      <c r="O405" s="17" t="str">
        <f aca="false">IF(OR($N405="",$N405=0),"",MAX(MIN($N405,Aannames!$B$5)*Aannames!$C$5+MAX(0,MIN($N405,Aannames!$B$6)-Aannames!$B$5)*Aannames!$C$6+MAX(0,MIN($N405,Aannames!$B$7)-Aannames!$B$6)*Aannames!$C$7+MAX(0,$N405-Aannames!$B$7)*Aannames!$C$8,Aannames!$B$9)+Aannames!$B$10)</f>
        <v/>
      </c>
      <c r="P405" s="18" t="str">
        <f aca="false">IF($L405="","",IFERROR(_xlfn.SWITCH($L405,"M1",Aannames!$B$16,"M2",Aannames!$B$17,"M3",Aannames!$B$18,"M4",Aannames!$B$19),""))</f>
        <v/>
      </c>
      <c r="Q405" s="17" t="str">
        <f aca="false">IF(OR($O405="",$P405=""),"",IFERROR(_xlfn.SWITCH($L405,"M1",Aannames!$B$10,"M2",Aannames!$B$10+($O405-Aannames!$B$10)*Aannames!$B$12,"M3",Aannames!$B$10+($O405-Aannames!$B$10)*(Aannames!$B$12+Aannames!$B$13),"M4",$O405),0)+($O405-IFERROR(_xlfn.SWITCH($L405,"M1",Aannames!$B$10,"M2",Aannames!$B$10+($O405-Aannames!$B$10)*Aannames!$B$12,"M3",Aannames!$B$10+($O405-Aannames!$B$10)*(Aannames!$B$12+Aannames!$B$13),"M4",$O405),0))*$P405)</f>
        <v/>
      </c>
      <c r="U405" s="15"/>
    </row>
    <row r="406" customFormat="false" ht="15" hidden="false" customHeight="false" outlineLevel="0" collapsed="false">
      <c r="I406" s="15"/>
      <c r="N406" s="16"/>
      <c r="O406" s="17" t="str">
        <f aca="false">IF(OR($N406="",$N406=0),"",MAX(MIN($N406,Aannames!$B$5)*Aannames!$C$5+MAX(0,MIN($N406,Aannames!$B$6)-Aannames!$B$5)*Aannames!$C$6+MAX(0,MIN($N406,Aannames!$B$7)-Aannames!$B$6)*Aannames!$C$7+MAX(0,$N406-Aannames!$B$7)*Aannames!$C$8,Aannames!$B$9)+Aannames!$B$10)</f>
        <v/>
      </c>
      <c r="P406" s="18" t="str">
        <f aca="false">IF($L406="","",IFERROR(_xlfn.SWITCH($L406,"M1",Aannames!$B$16,"M2",Aannames!$B$17,"M3",Aannames!$B$18,"M4",Aannames!$B$19),""))</f>
        <v/>
      </c>
      <c r="Q406" s="17" t="str">
        <f aca="false">IF(OR($O406="",$P406=""),"",IFERROR(_xlfn.SWITCH($L406,"M1",Aannames!$B$10,"M2",Aannames!$B$10+($O406-Aannames!$B$10)*Aannames!$B$12,"M3",Aannames!$B$10+($O406-Aannames!$B$10)*(Aannames!$B$12+Aannames!$B$13),"M4",$O406),0)+($O406-IFERROR(_xlfn.SWITCH($L406,"M1",Aannames!$B$10,"M2",Aannames!$B$10+($O406-Aannames!$B$10)*Aannames!$B$12,"M3",Aannames!$B$10+($O406-Aannames!$B$10)*(Aannames!$B$12+Aannames!$B$13),"M4",$O406),0))*$P406)</f>
        <v/>
      </c>
      <c r="U406" s="15"/>
    </row>
    <row r="407" customFormat="false" ht="15" hidden="false" customHeight="false" outlineLevel="0" collapsed="false">
      <c r="I407" s="15"/>
      <c r="N407" s="16"/>
      <c r="O407" s="17" t="str">
        <f aca="false">IF(OR($N407="",$N407=0),"",MAX(MIN($N407,Aannames!$B$5)*Aannames!$C$5+MAX(0,MIN($N407,Aannames!$B$6)-Aannames!$B$5)*Aannames!$C$6+MAX(0,MIN($N407,Aannames!$B$7)-Aannames!$B$6)*Aannames!$C$7+MAX(0,$N407-Aannames!$B$7)*Aannames!$C$8,Aannames!$B$9)+Aannames!$B$10)</f>
        <v/>
      </c>
      <c r="P407" s="18" t="str">
        <f aca="false">IF($L407="","",IFERROR(_xlfn.SWITCH($L407,"M1",Aannames!$B$16,"M2",Aannames!$B$17,"M3",Aannames!$B$18,"M4",Aannames!$B$19),""))</f>
        <v/>
      </c>
      <c r="Q407" s="17" t="str">
        <f aca="false">IF(OR($O407="",$P407=""),"",IFERROR(_xlfn.SWITCH($L407,"M1",Aannames!$B$10,"M2",Aannames!$B$10+($O407-Aannames!$B$10)*Aannames!$B$12,"M3",Aannames!$B$10+($O407-Aannames!$B$10)*(Aannames!$B$12+Aannames!$B$13),"M4",$O407),0)+($O407-IFERROR(_xlfn.SWITCH($L407,"M1",Aannames!$B$10,"M2",Aannames!$B$10+($O407-Aannames!$B$10)*Aannames!$B$12,"M3",Aannames!$B$10+($O407-Aannames!$B$10)*(Aannames!$B$12+Aannames!$B$13),"M4",$O407),0))*$P407)</f>
        <v/>
      </c>
      <c r="U407" s="15"/>
    </row>
    <row r="408" customFormat="false" ht="15" hidden="false" customHeight="false" outlineLevel="0" collapsed="false">
      <c r="I408" s="15"/>
      <c r="N408" s="16"/>
      <c r="O408" s="17" t="str">
        <f aca="false">IF(OR($N408="",$N408=0),"",MAX(MIN($N408,Aannames!$B$5)*Aannames!$C$5+MAX(0,MIN($N408,Aannames!$B$6)-Aannames!$B$5)*Aannames!$C$6+MAX(0,MIN($N408,Aannames!$B$7)-Aannames!$B$6)*Aannames!$C$7+MAX(0,$N408-Aannames!$B$7)*Aannames!$C$8,Aannames!$B$9)+Aannames!$B$10)</f>
        <v/>
      </c>
      <c r="P408" s="18" t="str">
        <f aca="false">IF($L408="","",IFERROR(_xlfn.SWITCH($L408,"M1",Aannames!$B$16,"M2",Aannames!$B$17,"M3",Aannames!$B$18,"M4",Aannames!$B$19),""))</f>
        <v/>
      </c>
      <c r="Q408" s="17" t="str">
        <f aca="false">IF(OR($O408="",$P408=""),"",IFERROR(_xlfn.SWITCH($L408,"M1",Aannames!$B$10,"M2",Aannames!$B$10+($O408-Aannames!$B$10)*Aannames!$B$12,"M3",Aannames!$B$10+($O408-Aannames!$B$10)*(Aannames!$B$12+Aannames!$B$13),"M4",$O408),0)+($O408-IFERROR(_xlfn.SWITCH($L408,"M1",Aannames!$B$10,"M2",Aannames!$B$10+($O408-Aannames!$B$10)*Aannames!$B$12,"M3",Aannames!$B$10+($O408-Aannames!$B$10)*(Aannames!$B$12+Aannames!$B$13),"M4",$O408),0))*$P408)</f>
        <v/>
      </c>
      <c r="U408" s="15"/>
    </row>
    <row r="409" customFormat="false" ht="15" hidden="false" customHeight="false" outlineLevel="0" collapsed="false">
      <c r="I409" s="15"/>
      <c r="N409" s="16"/>
      <c r="O409" s="17" t="str">
        <f aca="false">IF(OR($N409="",$N409=0),"",MAX(MIN($N409,Aannames!$B$5)*Aannames!$C$5+MAX(0,MIN($N409,Aannames!$B$6)-Aannames!$B$5)*Aannames!$C$6+MAX(0,MIN($N409,Aannames!$B$7)-Aannames!$B$6)*Aannames!$C$7+MAX(0,$N409-Aannames!$B$7)*Aannames!$C$8,Aannames!$B$9)+Aannames!$B$10)</f>
        <v/>
      </c>
      <c r="P409" s="18" t="str">
        <f aca="false">IF($L409="","",IFERROR(_xlfn.SWITCH($L409,"M1",Aannames!$B$16,"M2",Aannames!$B$17,"M3",Aannames!$B$18,"M4",Aannames!$B$19),""))</f>
        <v/>
      </c>
      <c r="Q409" s="17" t="str">
        <f aca="false">IF(OR($O409="",$P409=""),"",IFERROR(_xlfn.SWITCH($L409,"M1",Aannames!$B$10,"M2",Aannames!$B$10+($O409-Aannames!$B$10)*Aannames!$B$12,"M3",Aannames!$B$10+($O409-Aannames!$B$10)*(Aannames!$B$12+Aannames!$B$13),"M4",$O409),0)+($O409-IFERROR(_xlfn.SWITCH($L409,"M1",Aannames!$B$10,"M2",Aannames!$B$10+($O409-Aannames!$B$10)*Aannames!$B$12,"M3",Aannames!$B$10+($O409-Aannames!$B$10)*(Aannames!$B$12+Aannames!$B$13),"M4",$O409),0))*$P409)</f>
        <v/>
      </c>
      <c r="U409" s="15"/>
    </row>
    <row r="410" customFormat="false" ht="15" hidden="false" customHeight="false" outlineLevel="0" collapsed="false">
      <c r="I410" s="15"/>
      <c r="N410" s="16"/>
      <c r="O410" s="17" t="str">
        <f aca="false">IF(OR($N410="",$N410=0),"",MAX(MIN($N410,Aannames!$B$5)*Aannames!$C$5+MAX(0,MIN($N410,Aannames!$B$6)-Aannames!$B$5)*Aannames!$C$6+MAX(0,MIN($N410,Aannames!$B$7)-Aannames!$B$6)*Aannames!$C$7+MAX(0,$N410-Aannames!$B$7)*Aannames!$C$8,Aannames!$B$9)+Aannames!$B$10)</f>
        <v/>
      </c>
      <c r="P410" s="18" t="str">
        <f aca="false">IF($L410="","",IFERROR(_xlfn.SWITCH($L410,"M1",Aannames!$B$16,"M2",Aannames!$B$17,"M3",Aannames!$B$18,"M4",Aannames!$B$19),""))</f>
        <v/>
      </c>
      <c r="Q410" s="17" t="str">
        <f aca="false">IF(OR($O410="",$P410=""),"",IFERROR(_xlfn.SWITCH($L410,"M1",Aannames!$B$10,"M2",Aannames!$B$10+($O410-Aannames!$B$10)*Aannames!$B$12,"M3",Aannames!$B$10+($O410-Aannames!$B$10)*(Aannames!$B$12+Aannames!$B$13),"M4",$O410),0)+($O410-IFERROR(_xlfn.SWITCH($L410,"M1",Aannames!$B$10,"M2",Aannames!$B$10+($O410-Aannames!$B$10)*Aannames!$B$12,"M3",Aannames!$B$10+($O410-Aannames!$B$10)*(Aannames!$B$12+Aannames!$B$13),"M4",$O410),0))*$P410)</f>
        <v/>
      </c>
      <c r="U410" s="15"/>
    </row>
    <row r="411" customFormat="false" ht="15" hidden="false" customHeight="false" outlineLevel="0" collapsed="false">
      <c r="I411" s="15"/>
      <c r="N411" s="16"/>
      <c r="O411" s="17" t="str">
        <f aca="false">IF(OR($N411="",$N411=0),"",MAX(MIN($N411,Aannames!$B$5)*Aannames!$C$5+MAX(0,MIN($N411,Aannames!$B$6)-Aannames!$B$5)*Aannames!$C$6+MAX(0,MIN($N411,Aannames!$B$7)-Aannames!$B$6)*Aannames!$C$7+MAX(0,$N411-Aannames!$B$7)*Aannames!$C$8,Aannames!$B$9)+Aannames!$B$10)</f>
        <v/>
      </c>
      <c r="P411" s="18" t="str">
        <f aca="false">IF($L411="","",IFERROR(_xlfn.SWITCH($L411,"M1",Aannames!$B$16,"M2",Aannames!$B$17,"M3",Aannames!$B$18,"M4",Aannames!$B$19),""))</f>
        <v/>
      </c>
      <c r="Q411" s="17" t="str">
        <f aca="false">IF(OR($O411="",$P411=""),"",IFERROR(_xlfn.SWITCH($L411,"M1",Aannames!$B$10,"M2",Aannames!$B$10+($O411-Aannames!$B$10)*Aannames!$B$12,"M3",Aannames!$B$10+($O411-Aannames!$B$10)*(Aannames!$B$12+Aannames!$B$13),"M4",$O411),0)+($O411-IFERROR(_xlfn.SWITCH($L411,"M1",Aannames!$B$10,"M2",Aannames!$B$10+($O411-Aannames!$B$10)*Aannames!$B$12,"M3",Aannames!$B$10+($O411-Aannames!$B$10)*(Aannames!$B$12+Aannames!$B$13),"M4",$O411),0))*$P411)</f>
        <v/>
      </c>
      <c r="U411" s="15"/>
    </row>
    <row r="412" customFormat="false" ht="15" hidden="false" customHeight="false" outlineLevel="0" collapsed="false">
      <c r="I412" s="15"/>
      <c r="N412" s="16"/>
      <c r="O412" s="17" t="str">
        <f aca="false">IF(OR($N412="",$N412=0),"",MAX(MIN($N412,Aannames!$B$5)*Aannames!$C$5+MAX(0,MIN($N412,Aannames!$B$6)-Aannames!$B$5)*Aannames!$C$6+MAX(0,MIN($N412,Aannames!$B$7)-Aannames!$B$6)*Aannames!$C$7+MAX(0,$N412-Aannames!$B$7)*Aannames!$C$8,Aannames!$B$9)+Aannames!$B$10)</f>
        <v/>
      </c>
      <c r="P412" s="18" t="str">
        <f aca="false">IF($L412="","",IFERROR(_xlfn.SWITCH($L412,"M1",Aannames!$B$16,"M2",Aannames!$B$17,"M3",Aannames!$B$18,"M4",Aannames!$B$19),""))</f>
        <v/>
      </c>
      <c r="Q412" s="17" t="str">
        <f aca="false">IF(OR($O412="",$P412=""),"",IFERROR(_xlfn.SWITCH($L412,"M1",Aannames!$B$10,"M2",Aannames!$B$10+($O412-Aannames!$B$10)*Aannames!$B$12,"M3",Aannames!$B$10+($O412-Aannames!$B$10)*(Aannames!$B$12+Aannames!$B$13),"M4",$O412),0)+($O412-IFERROR(_xlfn.SWITCH($L412,"M1",Aannames!$B$10,"M2",Aannames!$B$10+($O412-Aannames!$B$10)*Aannames!$B$12,"M3",Aannames!$B$10+($O412-Aannames!$B$10)*(Aannames!$B$12+Aannames!$B$13),"M4",$O412),0))*$P412)</f>
        <v/>
      </c>
      <c r="U412" s="15"/>
    </row>
    <row r="413" customFormat="false" ht="15" hidden="false" customHeight="false" outlineLevel="0" collapsed="false">
      <c r="I413" s="15"/>
      <c r="N413" s="16"/>
      <c r="O413" s="17" t="str">
        <f aca="false">IF(OR($N413="",$N413=0),"",MAX(MIN($N413,Aannames!$B$5)*Aannames!$C$5+MAX(0,MIN($N413,Aannames!$B$6)-Aannames!$B$5)*Aannames!$C$6+MAX(0,MIN($N413,Aannames!$B$7)-Aannames!$B$6)*Aannames!$C$7+MAX(0,$N413-Aannames!$B$7)*Aannames!$C$8,Aannames!$B$9)+Aannames!$B$10)</f>
        <v/>
      </c>
      <c r="P413" s="18" t="str">
        <f aca="false">IF($L413="","",IFERROR(_xlfn.SWITCH($L413,"M1",Aannames!$B$16,"M2",Aannames!$B$17,"M3",Aannames!$B$18,"M4",Aannames!$B$19),""))</f>
        <v/>
      </c>
      <c r="Q413" s="17" t="str">
        <f aca="false">IF(OR($O413="",$P413=""),"",IFERROR(_xlfn.SWITCH($L413,"M1",Aannames!$B$10,"M2",Aannames!$B$10+($O413-Aannames!$B$10)*Aannames!$B$12,"M3",Aannames!$B$10+($O413-Aannames!$B$10)*(Aannames!$B$12+Aannames!$B$13),"M4",$O413),0)+($O413-IFERROR(_xlfn.SWITCH($L413,"M1",Aannames!$B$10,"M2",Aannames!$B$10+($O413-Aannames!$B$10)*Aannames!$B$12,"M3",Aannames!$B$10+($O413-Aannames!$B$10)*(Aannames!$B$12+Aannames!$B$13),"M4",$O413),0))*$P413)</f>
        <v/>
      </c>
      <c r="U413" s="15"/>
    </row>
    <row r="414" customFormat="false" ht="15" hidden="false" customHeight="false" outlineLevel="0" collapsed="false">
      <c r="I414" s="15"/>
      <c r="N414" s="16"/>
      <c r="O414" s="17" t="str">
        <f aca="false">IF(OR($N414="",$N414=0),"",MAX(MIN($N414,Aannames!$B$5)*Aannames!$C$5+MAX(0,MIN($N414,Aannames!$B$6)-Aannames!$B$5)*Aannames!$C$6+MAX(0,MIN($N414,Aannames!$B$7)-Aannames!$B$6)*Aannames!$C$7+MAX(0,$N414-Aannames!$B$7)*Aannames!$C$8,Aannames!$B$9)+Aannames!$B$10)</f>
        <v/>
      </c>
      <c r="P414" s="18" t="str">
        <f aca="false">IF($L414="","",IFERROR(_xlfn.SWITCH($L414,"M1",Aannames!$B$16,"M2",Aannames!$B$17,"M3",Aannames!$B$18,"M4",Aannames!$B$19),""))</f>
        <v/>
      </c>
      <c r="Q414" s="17" t="str">
        <f aca="false">IF(OR($O414="",$P414=""),"",IFERROR(_xlfn.SWITCH($L414,"M1",Aannames!$B$10,"M2",Aannames!$B$10+($O414-Aannames!$B$10)*Aannames!$B$12,"M3",Aannames!$B$10+($O414-Aannames!$B$10)*(Aannames!$B$12+Aannames!$B$13),"M4",$O414),0)+($O414-IFERROR(_xlfn.SWITCH($L414,"M1",Aannames!$B$10,"M2",Aannames!$B$10+($O414-Aannames!$B$10)*Aannames!$B$12,"M3",Aannames!$B$10+($O414-Aannames!$B$10)*(Aannames!$B$12+Aannames!$B$13),"M4",$O414),0))*$P414)</f>
        <v/>
      </c>
      <c r="U414" s="15"/>
    </row>
    <row r="415" customFormat="false" ht="15" hidden="false" customHeight="false" outlineLevel="0" collapsed="false">
      <c r="I415" s="15"/>
      <c r="N415" s="16"/>
      <c r="O415" s="17" t="str">
        <f aca="false">IF(OR($N415="",$N415=0),"",MAX(MIN($N415,Aannames!$B$5)*Aannames!$C$5+MAX(0,MIN($N415,Aannames!$B$6)-Aannames!$B$5)*Aannames!$C$6+MAX(0,MIN($N415,Aannames!$B$7)-Aannames!$B$6)*Aannames!$C$7+MAX(0,$N415-Aannames!$B$7)*Aannames!$C$8,Aannames!$B$9)+Aannames!$B$10)</f>
        <v/>
      </c>
      <c r="P415" s="18" t="str">
        <f aca="false">IF($L415="","",IFERROR(_xlfn.SWITCH($L415,"M1",Aannames!$B$16,"M2",Aannames!$B$17,"M3",Aannames!$B$18,"M4",Aannames!$B$19),""))</f>
        <v/>
      </c>
      <c r="Q415" s="17" t="str">
        <f aca="false">IF(OR($O415="",$P415=""),"",IFERROR(_xlfn.SWITCH($L415,"M1",Aannames!$B$10,"M2",Aannames!$B$10+($O415-Aannames!$B$10)*Aannames!$B$12,"M3",Aannames!$B$10+($O415-Aannames!$B$10)*(Aannames!$B$12+Aannames!$B$13),"M4",$O415),0)+($O415-IFERROR(_xlfn.SWITCH($L415,"M1",Aannames!$B$10,"M2",Aannames!$B$10+($O415-Aannames!$B$10)*Aannames!$B$12,"M3",Aannames!$B$10+($O415-Aannames!$B$10)*(Aannames!$B$12+Aannames!$B$13),"M4",$O415),0))*$P415)</f>
        <v/>
      </c>
      <c r="U415" s="15"/>
    </row>
    <row r="416" customFormat="false" ht="15" hidden="false" customHeight="false" outlineLevel="0" collapsed="false">
      <c r="I416" s="15"/>
      <c r="N416" s="16"/>
      <c r="O416" s="17" t="str">
        <f aca="false">IF(OR($N416="",$N416=0),"",MAX(MIN($N416,Aannames!$B$5)*Aannames!$C$5+MAX(0,MIN($N416,Aannames!$B$6)-Aannames!$B$5)*Aannames!$C$6+MAX(0,MIN($N416,Aannames!$B$7)-Aannames!$B$6)*Aannames!$C$7+MAX(0,$N416-Aannames!$B$7)*Aannames!$C$8,Aannames!$B$9)+Aannames!$B$10)</f>
        <v/>
      </c>
      <c r="P416" s="18" t="str">
        <f aca="false">IF($L416="","",IFERROR(_xlfn.SWITCH($L416,"M1",Aannames!$B$16,"M2",Aannames!$B$17,"M3",Aannames!$B$18,"M4",Aannames!$B$19),""))</f>
        <v/>
      </c>
      <c r="Q416" s="17" t="str">
        <f aca="false">IF(OR($O416="",$P416=""),"",IFERROR(_xlfn.SWITCH($L416,"M1",Aannames!$B$10,"M2",Aannames!$B$10+($O416-Aannames!$B$10)*Aannames!$B$12,"M3",Aannames!$B$10+($O416-Aannames!$B$10)*(Aannames!$B$12+Aannames!$B$13),"M4",$O416),0)+($O416-IFERROR(_xlfn.SWITCH($L416,"M1",Aannames!$B$10,"M2",Aannames!$B$10+($O416-Aannames!$B$10)*Aannames!$B$12,"M3",Aannames!$B$10+($O416-Aannames!$B$10)*(Aannames!$B$12+Aannames!$B$13),"M4",$O416),0))*$P416)</f>
        <v/>
      </c>
      <c r="U416" s="15"/>
    </row>
    <row r="417" customFormat="false" ht="15" hidden="false" customHeight="false" outlineLevel="0" collapsed="false">
      <c r="I417" s="15"/>
      <c r="N417" s="16"/>
      <c r="O417" s="17" t="str">
        <f aca="false">IF(OR($N417="",$N417=0),"",MAX(MIN($N417,Aannames!$B$5)*Aannames!$C$5+MAX(0,MIN($N417,Aannames!$B$6)-Aannames!$B$5)*Aannames!$C$6+MAX(0,MIN($N417,Aannames!$B$7)-Aannames!$B$6)*Aannames!$C$7+MAX(0,$N417-Aannames!$B$7)*Aannames!$C$8,Aannames!$B$9)+Aannames!$B$10)</f>
        <v/>
      </c>
      <c r="P417" s="18" t="str">
        <f aca="false">IF($L417="","",IFERROR(_xlfn.SWITCH($L417,"M1",Aannames!$B$16,"M2",Aannames!$B$17,"M3",Aannames!$B$18,"M4",Aannames!$B$19),""))</f>
        <v/>
      </c>
      <c r="Q417" s="17" t="str">
        <f aca="false">IF(OR($O417="",$P417=""),"",IFERROR(_xlfn.SWITCH($L417,"M1",Aannames!$B$10,"M2",Aannames!$B$10+($O417-Aannames!$B$10)*Aannames!$B$12,"M3",Aannames!$B$10+($O417-Aannames!$B$10)*(Aannames!$B$12+Aannames!$B$13),"M4",$O417),0)+($O417-IFERROR(_xlfn.SWITCH($L417,"M1",Aannames!$B$10,"M2",Aannames!$B$10+($O417-Aannames!$B$10)*Aannames!$B$12,"M3",Aannames!$B$10+($O417-Aannames!$B$10)*(Aannames!$B$12+Aannames!$B$13),"M4",$O417),0))*$P417)</f>
        <v/>
      </c>
      <c r="U417" s="15"/>
    </row>
    <row r="418" customFormat="false" ht="15" hidden="false" customHeight="false" outlineLevel="0" collapsed="false">
      <c r="I418" s="15"/>
      <c r="N418" s="16"/>
      <c r="O418" s="17" t="str">
        <f aca="false">IF(OR($N418="",$N418=0),"",MAX(MIN($N418,Aannames!$B$5)*Aannames!$C$5+MAX(0,MIN($N418,Aannames!$B$6)-Aannames!$B$5)*Aannames!$C$6+MAX(0,MIN($N418,Aannames!$B$7)-Aannames!$B$6)*Aannames!$C$7+MAX(0,$N418-Aannames!$B$7)*Aannames!$C$8,Aannames!$B$9)+Aannames!$B$10)</f>
        <v/>
      </c>
      <c r="P418" s="18" t="str">
        <f aca="false">IF($L418="","",IFERROR(_xlfn.SWITCH($L418,"M1",Aannames!$B$16,"M2",Aannames!$B$17,"M3",Aannames!$B$18,"M4",Aannames!$B$19),""))</f>
        <v/>
      </c>
      <c r="Q418" s="17" t="str">
        <f aca="false">IF(OR($O418="",$P418=""),"",IFERROR(_xlfn.SWITCH($L418,"M1",Aannames!$B$10,"M2",Aannames!$B$10+($O418-Aannames!$B$10)*Aannames!$B$12,"M3",Aannames!$B$10+($O418-Aannames!$B$10)*(Aannames!$B$12+Aannames!$B$13),"M4",$O418),0)+($O418-IFERROR(_xlfn.SWITCH($L418,"M1",Aannames!$B$10,"M2",Aannames!$B$10+($O418-Aannames!$B$10)*Aannames!$B$12,"M3",Aannames!$B$10+($O418-Aannames!$B$10)*(Aannames!$B$12+Aannames!$B$13),"M4",$O418),0))*$P418)</f>
        <v/>
      </c>
      <c r="U418" s="15"/>
    </row>
    <row r="419" customFormat="false" ht="15" hidden="false" customHeight="false" outlineLevel="0" collapsed="false">
      <c r="I419" s="15"/>
      <c r="N419" s="16"/>
      <c r="O419" s="17" t="str">
        <f aca="false">IF(OR($N419="",$N419=0),"",MAX(MIN($N419,Aannames!$B$5)*Aannames!$C$5+MAX(0,MIN($N419,Aannames!$B$6)-Aannames!$B$5)*Aannames!$C$6+MAX(0,MIN($N419,Aannames!$B$7)-Aannames!$B$6)*Aannames!$C$7+MAX(0,$N419-Aannames!$B$7)*Aannames!$C$8,Aannames!$B$9)+Aannames!$B$10)</f>
        <v/>
      </c>
      <c r="P419" s="18" t="str">
        <f aca="false">IF($L419="","",IFERROR(_xlfn.SWITCH($L419,"M1",Aannames!$B$16,"M2",Aannames!$B$17,"M3",Aannames!$B$18,"M4",Aannames!$B$19),""))</f>
        <v/>
      </c>
      <c r="Q419" s="17" t="str">
        <f aca="false">IF(OR($O419="",$P419=""),"",IFERROR(_xlfn.SWITCH($L419,"M1",Aannames!$B$10,"M2",Aannames!$B$10+($O419-Aannames!$B$10)*Aannames!$B$12,"M3",Aannames!$B$10+($O419-Aannames!$B$10)*(Aannames!$B$12+Aannames!$B$13),"M4",$O419),0)+($O419-IFERROR(_xlfn.SWITCH($L419,"M1",Aannames!$B$10,"M2",Aannames!$B$10+($O419-Aannames!$B$10)*Aannames!$B$12,"M3",Aannames!$B$10+($O419-Aannames!$B$10)*(Aannames!$B$12+Aannames!$B$13),"M4",$O419),0))*$P419)</f>
        <v/>
      </c>
      <c r="U419" s="15"/>
    </row>
    <row r="420" customFormat="false" ht="15" hidden="false" customHeight="false" outlineLevel="0" collapsed="false">
      <c r="I420" s="15"/>
      <c r="N420" s="16"/>
      <c r="O420" s="17" t="str">
        <f aca="false">IF(OR($N420="",$N420=0),"",MAX(MIN($N420,Aannames!$B$5)*Aannames!$C$5+MAX(0,MIN($N420,Aannames!$B$6)-Aannames!$B$5)*Aannames!$C$6+MAX(0,MIN($N420,Aannames!$B$7)-Aannames!$B$6)*Aannames!$C$7+MAX(0,$N420-Aannames!$B$7)*Aannames!$C$8,Aannames!$B$9)+Aannames!$B$10)</f>
        <v/>
      </c>
      <c r="P420" s="18" t="str">
        <f aca="false">IF($L420="","",IFERROR(_xlfn.SWITCH($L420,"M1",Aannames!$B$16,"M2",Aannames!$B$17,"M3",Aannames!$B$18,"M4",Aannames!$B$19),""))</f>
        <v/>
      </c>
      <c r="Q420" s="17" t="str">
        <f aca="false">IF(OR($O420="",$P420=""),"",IFERROR(_xlfn.SWITCH($L420,"M1",Aannames!$B$10,"M2",Aannames!$B$10+($O420-Aannames!$B$10)*Aannames!$B$12,"M3",Aannames!$B$10+($O420-Aannames!$B$10)*(Aannames!$B$12+Aannames!$B$13),"M4",$O420),0)+($O420-IFERROR(_xlfn.SWITCH($L420,"M1",Aannames!$B$10,"M2",Aannames!$B$10+($O420-Aannames!$B$10)*Aannames!$B$12,"M3",Aannames!$B$10+($O420-Aannames!$B$10)*(Aannames!$B$12+Aannames!$B$13),"M4",$O420),0))*$P420)</f>
        <v/>
      </c>
      <c r="U420" s="15"/>
    </row>
    <row r="421" customFormat="false" ht="15" hidden="false" customHeight="false" outlineLevel="0" collapsed="false">
      <c r="I421" s="15"/>
      <c r="N421" s="16"/>
      <c r="O421" s="17" t="str">
        <f aca="false">IF(OR($N421="",$N421=0),"",MAX(MIN($N421,Aannames!$B$5)*Aannames!$C$5+MAX(0,MIN($N421,Aannames!$B$6)-Aannames!$B$5)*Aannames!$C$6+MAX(0,MIN($N421,Aannames!$B$7)-Aannames!$B$6)*Aannames!$C$7+MAX(0,$N421-Aannames!$B$7)*Aannames!$C$8,Aannames!$B$9)+Aannames!$B$10)</f>
        <v/>
      </c>
      <c r="P421" s="18" t="str">
        <f aca="false">IF($L421="","",IFERROR(_xlfn.SWITCH($L421,"M1",Aannames!$B$16,"M2",Aannames!$B$17,"M3",Aannames!$B$18,"M4",Aannames!$B$19),""))</f>
        <v/>
      </c>
      <c r="Q421" s="17" t="str">
        <f aca="false">IF(OR($O421="",$P421=""),"",IFERROR(_xlfn.SWITCH($L421,"M1",Aannames!$B$10,"M2",Aannames!$B$10+($O421-Aannames!$B$10)*Aannames!$B$12,"M3",Aannames!$B$10+($O421-Aannames!$B$10)*(Aannames!$B$12+Aannames!$B$13),"M4",$O421),0)+($O421-IFERROR(_xlfn.SWITCH($L421,"M1",Aannames!$B$10,"M2",Aannames!$B$10+($O421-Aannames!$B$10)*Aannames!$B$12,"M3",Aannames!$B$10+($O421-Aannames!$B$10)*(Aannames!$B$12+Aannames!$B$13),"M4",$O421),0))*$P421)</f>
        <v/>
      </c>
      <c r="U421" s="15"/>
    </row>
    <row r="422" customFormat="false" ht="15" hidden="false" customHeight="false" outlineLevel="0" collapsed="false">
      <c r="I422" s="15"/>
      <c r="N422" s="16"/>
      <c r="O422" s="17" t="str">
        <f aca="false">IF(OR($N422="",$N422=0),"",MAX(MIN($N422,Aannames!$B$5)*Aannames!$C$5+MAX(0,MIN($N422,Aannames!$B$6)-Aannames!$B$5)*Aannames!$C$6+MAX(0,MIN($N422,Aannames!$B$7)-Aannames!$B$6)*Aannames!$C$7+MAX(0,$N422-Aannames!$B$7)*Aannames!$C$8,Aannames!$B$9)+Aannames!$B$10)</f>
        <v/>
      </c>
      <c r="P422" s="18" t="str">
        <f aca="false">IF($L422="","",IFERROR(_xlfn.SWITCH($L422,"M1",Aannames!$B$16,"M2",Aannames!$B$17,"M3",Aannames!$B$18,"M4",Aannames!$B$19),""))</f>
        <v/>
      </c>
      <c r="Q422" s="17" t="str">
        <f aca="false">IF(OR($O422="",$P422=""),"",IFERROR(_xlfn.SWITCH($L422,"M1",Aannames!$B$10,"M2",Aannames!$B$10+($O422-Aannames!$B$10)*Aannames!$B$12,"M3",Aannames!$B$10+($O422-Aannames!$B$10)*(Aannames!$B$12+Aannames!$B$13),"M4",$O422),0)+($O422-IFERROR(_xlfn.SWITCH($L422,"M1",Aannames!$B$10,"M2",Aannames!$B$10+($O422-Aannames!$B$10)*Aannames!$B$12,"M3",Aannames!$B$10+($O422-Aannames!$B$10)*(Aannames!$B$12+Aannames!$B$13),"M4",$O422),0))*$P422)</f>
        <v/>
      </c>
      <c r="U422" s="15"/>
    </row>
    <row r="423" customFormat="false" ht="15" hidden="false" customHeight="false" outlineLevel="0" collapsed="false">
      <c r="I423" s="15"/>
      <c r="N423" s="16"/>
      <c r="O423" s="17" t="str">
        <f aca="false">IF(OR($N423="",$N423=0),"",MAX(MIN($N423,Aannames!$B$5)*Aannames!$C$5+MAX(0,MIN($N423,Aannames!$B$6)-Aannames!$B$5)*Aannames!$C$6+MAX(0,MIN($N423,Aannames!$B$7)-Aannames!$B$6)*Aannames!$C$7+MAX(0,$N423-Aannames!$B$7)*Aannames!$C$8,Aannames!$B$9)+Aannames!$B$10)</f>
        <v/>
      </c>
      <c r="P423" s="18" t="str">
        <f aca="false">IF($L423="","",IFERROR(_xlfn.SWITCH($L423,"M1",Aannames!$B$16,"M2",Aannames!$B$17,"M3",Aannames!$B$18,"M4",Aannames!$B$19),""))</f>
        <v/>
      </c>
      <c r="Q423" s="17" t="str">
        <f aca="false">IF(OR($O423="",$P423=""),"",IFERROR(_xlfn.SWITCH($L423,"M1",Aannames!$B$10,"M2",Aannames!$B$10+($O423-Aannames!$B$10)*Aannames!$B$12,"M3",Aannames!$B$10+($O423-Aannames!$B$10)*(Aannames!$B$12+Aannames!$B$13),"M4",$O423),0)+($O423-IFERROR(_xlfn.SWITCH($L423,"M1",Aannames!$B$10,"M2",Aannames!$B$10+($O423-Aannames!$B$10)*Aannames!$B$12,"M3",Aannames!$B$10+($O423-Aannames!$B$10)*(Aannames!$B$12+Aannames!$B$13),"M4",$O423),0))*$P423)</f>
        <v/>
      </c>
      <c r="U423" s="15"/>
    </row>
    <row r="424" customFormat="false" ht="15" hidden="false" customHeight="false" outlineLevel="0" collapsed="false">
      <c r="I424" s="15"/>
      <c r="N424" s="16"/>
      <c r="O424" s="17" t="str">
        <f aca="false">IF(OR($N424="",$N424=0),"",MAX(MIN($N424,Aannames!$B$5)*Aannames!$C$5+MAX(0,MIN($N424,Aannames!$B$6)-Aannames!$B$5)*Aannames!$C$6+MAX(0,MIN($N424,Aannames!$B$7)-Aannames!$B$6)*Aannames!$C$7+MAX(0,$N424-Aannames!$B$7)*Aannames!$C$8,Aannames!$B$9)+Aannames!$B$10)</f>
        <v/>
      </c>
      <c r="P424" s="18" t="str">
        <f aca="false">IF($L424="","",IFERROR(_xlfn.SWITCH($L424,"M1",Aannames!$B$16,"M2",Aannames!$B$17,"M3",Aannames!$B$18,"M4",Aannames!$B$19),""))</f>
        <v/>
      </c>
      <c r="Q424" s="17" t="str">
        <f aca="false">IF(OR($O424="",$P424=""),"",IFERROR(_xlfn.SWITCH($L424,"M1",Aannames!$B$10,"M2",Aannames!$B$10+($O424-Aannames!$B$10)*Aannames!$B$12,"M3",Aannames!$B$10+($O424-Aannames!$B$10)*(Aannames!$B$12+Aannames!$B$13),"M4",$O424),0)+($O424-IFERROR(_xlfn.SWITCH($L424,"M1",Aannames!$B$10,"M2",Aannames!$B$10+($O424-Aannames!$B$10)*Aannames!$B$12,"M3",Aannames!$B$10+($O424-Aannames!$B$10)*(Aannames!$B$12+Aannames!$B$13),"M4",$O424),0))*$P424)</f>
        <v/>
      </c>
      <c r="U424" s="15"/>
    </row>
    <row r="425" customFormat="false" ht="15" hidden="false" customHeight="false" outlineLevel="0" collapsed="false">
      <c r="I425" s="15"/>
      <c r="N425" s="16"/>
      <c r="O425" s="17" t="str">
        <f aca="false">IF(OR($N425="",$N425=0),"",MAX(MIN($N425,Aannames!$B$5)*Aannames!$C$5+MAX(0,MIN($N425,Aannames!$B$6)-Aannames!$B$5)*Aannames!$C$6+MAX(0,MIN($N425,Aannames!$B$7)-Aannames!$B$6)*Aannames!$C$7+MAX(0,$N425-Aannames!$B$7)*Aannames!$C$8,Aannames!$B$9)+Aannames!$B$10)</f>
        <v/>
      </c>
      <c r="P425" s="18" t="str">
        <f aca="false">IF($L425="","",IFERROR(_xlfn.SWITCH($L425,"M1",Aannames!$B$16,"M2",Aannames!$B$17,"M3",Aannames!$B$18,"M4",Aannames!$B$19),""))</f>
        <v/>
      </c>
      <c r="Q425" s="17" t="str">
        <f aca="false">IF(OR($O425="",$P425=""),"",IFERROR(_xlfn.SWITCH($L425,"M1",Aannames!$B$10,"M2",Aannames!$B$10+($O425-Aannames!$B$10)*Aannames!$B$12,"M3",Aannames!$B$10+($O425-Aannames!$B$10)*(Aannames!$B$12+Aannames!$B$13),"M4",$O425),0)+($O425-IFERROR(_xlfn.SWITCH($L425,"M1",Aannames!$B$10,"M2",Aannames!$B$10+($O425-Aannames!$B$10)*Aannames!$B$12,"M3",Aannames!$B$10+($O425-Aannames!$B$10)*(Aannames!$B$12+Aannames!$B$13),"M4",$O425),0))*$P425)</f>
        <v/>
      </c>
      <c r="U425" s="15"/>
    </row>
    <row r="426" customFormat="false" ht="15" hidden="false" customHeight="false" outlineLevel="0" collapsed="false">
      <c r="I426" s="15"/>
      <c r="N426" s="16"/>
      <c r="O426" s="17" t="str">
        <f aca="false">IF(OR($N426="",$N426=0),"",MAX(MIN($N426,Aannames!$B$5)*Aannames!$C$5+MAX(0,MIN($N426,Aannames!$B$6)-Aannames!$B$5)*Aannames!$C$6+MAX(0,MIN($N426,Aannames!$B$7)-Aannames!$B$6)*Aannames!$C$7+MAX(0,$N426-Aannames!$B$7)*Aannames!$C$8,Aannames!$B$9)+Aannames!$B$10)</f>
        <v/>
      </c>
      <c r="P426" s="18" t="str">
        <f aca="false">IF($L426="","",IFERROR(_xlfn.SWITCH($L426,"M1",Aannames!$B$16,"M2",Aannames!$B$17,"M3",Aannames!$B$18,"M4",Aannames!$B$19),""))</f>
        <v/>
      </c>
      <c r="Q426" s="17" t="str">
        <f aca="false">IF(OR($O426="",$P426=""),"",IFERROR(_xlfn.SWITCH($L426,"M1",Aannames!$B$10,"M2",Aannames!$B$10+($O426-Aannames!$B$10)*Aannames!$B$12,"M3",Aannames!$B$10+($O426-Aannames!$B$10)*(Aannames!$B$12+Aannames!$B$13),"M4",$O426),0)+($O426-IFERROR(_xlfn.SWITCH($L426,"M1",Aannames!$B$10,"M2",Aannames!$B$10+($O426-Aannames!$B$10)*Aannames!$B$12,"M3",Aannames!$B$10+($O426-Aannames!$B$10)*(Aannames!$B$12+Aannames!$B$13),"M4",$O426),0))*$P426)</f>
        <v/>
      </c>
      <c r="U426" s="15"/>
    </row>
    <row r="427" customFormat="false" ht="15" hidden="false" customHeight="false" outlineLevel="0" collapsed="false">
      <c r="I427" s="15"/>
      <c r="N427" s="16"/>
      <c r="O427" s="17" t="str">
        <f aca="false">IF(OR($N427="",$N427=0),"",MAX(MIN($N427,Aannames!$B$5)*Aannames!$C$5+MAX(0,MIN($N427,Aannames!$B$6)-Aannames!$B$5)*Aannames!$C$6+MAX(0,MIN($N427,Aannames!$B$7)-Aannames!$B$6)*Aannames!$C$7+MAX(0,$N427-Aannames!$B$7)*Aannames!$C$8,Aannames!$B$9)+Aannames!$B$10)</f>
        <v/>
      </c>
      <c r="P427" s="18" t="str">
        <f aca="false">IF($L427="","",IFERROR(_xlfn.SWITCH($L427,"M1",Aannames!$B$16,"M2",Aannames!$B$17,"M3",Aannames!$B$18,"M4",Aannames!$B$19),""))</f>
        <v/>
      </c>
      <c r="Q427" s="17" t="str">
        <f aca="false">IF(OR($O427="",$P427=""),"",IFERROR(_xlfn.SWITCH($L427,"M1",Aannames!$B$10,"M2",Aannames!$B$10+($O427-Aannames!$B$10)*Aannames!$B$12,"M3",Aannames!$B$10+($O427-Aannames!$B$10)*(Aannames!$B$12+Aannames!$B$13),"M4",$O427),0)+($O427-IFERROR(_xlfn.SWITCH($L427,"M1",Aannames!$B$10,"M2",Aannames!$B$10+($O427-Aannames!$B$10)*Aannames!$B$12,"M3",Aannames!$B$10+($O427-Aannames!$B$10)*(Aannames!$B$12+Aannames!$B$13),"M4",$O427),0))*$P427)</f>
        <v/>
      </c>
      <c r="U427" s="15"/>
    </row>
    <row r="428" customFormat="false" ht="15" hidden="false" customHeight="false" outlineLevel="0" collapsed="false">
      <c r="I428" s="15"/>
      <c r="N428" s="16"/>
      <c r="O428" s="17" t="str">
        <f aca="false">IF(OR($N428="",$N428=0),"",MAX(MIN($N428,Aannames!$B$5)*Aannames!$C$5+MAX(0,MIN($N428,Aannames!$B$6)-Aannames!$B$5)*Aannames!$C$6+MAX(0,MIN($N428,Aannames!$B$7)-Aannames!$B$6)*Aannames!$C$7+MAX(0,$N428-Aannames!$B$7)*Aannames!$C$8,Aannames!$B$9)+Aannames!$B$10)</f>
        <v/>
      </c>
      <c r="P428" s="18" t="str">
        <f aca="false">IF($L428="","",IFERROR(_xlfn.SWITCH($L428,"M1",Aannames!$B$16,"M2",Aannames!$B$17,"M3",Aannames!$B$18,"M4",Aannames!$B$19),""))</f>
        <v/>
      </c>
      <c r="Q428" s="17" t="str">
        <f aca="false">IF(OR($O428="",$P428=""),"",IFERROR(_xlfn.SWITCH($L428,"M1",Aannames!$B$10,"M2",Aannames!$B$10+($O428-Aannames!$B$10)*Aannames!$B$12,"M3",Aannames!$B$10+($O428-Aannames!$B$10)*(Aannames!$B$12+Aannames!$B$13),"M4",$O428),0)+($O428-IFERROR(_xlfn.SWITCH($L428,"M1",Aannames!$B$10,"M2",Aannames!$B$10+($O428-Aannames!$B$10)*Aannames!$B$12,"M3",Aannames!$B$10+($O428-Aannames!$B$10)*(Aannames!$B$12+Aannames!$B$13),"M4",$O428),0))*$P428)</f>
        <v/>
      </c>
      <c r="U428" s="15"/>
    </row>
    <row r="429" customFormat="false" ht="15" hidden="false" customHeight="false" outlineLevel="0" collapsed="false">
      <c r="I429" s="15"/>
      <c r="N429" s="16"/>
      <c r="O429" s="17" t="str">
        <f aca="false">IF(OR($N429="",$N429=0),"",MAX(MIN($N429,Aannames!$B$5)*Aannames!$C$5+MAX(0,MIN($N429,Aannames!$B$6)-Aannames!$B$5)*Aannames!$C$6+MAX(0,MIN($N429,Aannames!$B$7)-Aannames!$B$6)*Aannames!$C$7+MAX(0,$N429-Aannames!$B$7)*Aannames!$C$8,Aannames!$B$9)+Aannames!$B$10)</f>
        <v/>
      </c>
      <c r="P429" s="18" t="str">
        <f aca="false">IF($L429="","",IFERROR(_xlfn.SWITCH($L429,"M1",Aannames!$B$16,"M2",Aannames!$B$17,"M3",Aannames!$B$18,"M4",Aannames!$B$19),""))</f>
        <v/>
      </c>
      <c r="Q429" s="17" t="str">
        <f aca="false">IF(OR($O429="",$P429=""),"",IFERROR(_xlfn.SWITCH($L429,"M1",Aannames!$B$10,"M2",Aannames!$B$10+($O429-Aannames!$B$10)*Aannames!$B$12,"M3",Aannames!$B$10+($O429-Aannames!$B$10)*(Aannames!$B$12+Aannames!$B$13),"M4",$O429),0)+($O429-IFERROR(_xlfn.SWITCH($L429,"M1",Aannames!$B$10,"M2",Aannames!$B$10+($O429-Aannames!$B$10)*Aannames!$B$12,"M3",Aannames!$B$10+($O429-Aannames!$B$10)*(Aannames!$B$12+Aannames!$B$13),"M4",$O429),0))*$P429)</f>
        <v/>
      </c>
      <c r="U429" s="15"/>
    </row>
    <row r="430" customFormat="false" ht="15" hidden="false" customHeight="false" outlineLevel="0" collapsed="false">
      <c r="I430" s="15"/>
      <c r="N430" s="16"/>
      <c r="O430" s="17" t="str">
        <f aca="false">IF(OR($N430="",$N430=0),"",MAX(MIN($N430,Aannames!$B$5)*Aannames!$C$5+MAX(0,MIN($N430,Aannames!$B$6)-Aannames!$B$5)*Aannames!$C$6+MAX(0,MIN($N430,Aannames!$B$7)-Aannames!$B$6)*Aannames!$C$7+MAX(0,$N430-Aannames!$B$7)*Aannames!$C$8,Aannames!$B$9)+Aannames!$B$10)</f>
        <v/>
      </c>
      <c r="P430" s="18" t="str">
        <f aca="false">IF($L430="","",IFERROR(_xlfn.SWITCH($L430,"M1",Aannames!$B$16,"M2",Aannames!$B$17,"M3",Aannames!$B$18,"M4",Aannames!$B$19),""))</f>
        <v/>
      </c>
      <c r="Q430" s="17" t="str">
        <f aca="false">IF(OR($O430="",$P430=""),"",IFERROR(_xlfn.SWITCH($L430,"M1",Aannames!$B$10,"M2",Aannames!$B$10+($O430-Aannames!$B$10)*Aannames!$B$12,"M3",Aannames!$B$10+($O430-Aannames!$B$10)*(Aannames!$B$12+Aannames!$B$13),"M4",$O430),0)+($O430-IFERROR(_xlfn.SWITCH($L430,"M1",Aannames!$B$10,"M2",Aannames!$B$10+($O430-Aannames!$B$10)*Aannames!$B$12,"M3",Aannames!$B$10+($O430-Aannames!$B$10)*(Aannames!$B$12+Aannames!$B$13),"M4",$O430),0))*$P430)</f>
        <v/>
      </c>
      <c r="U430" s="15"/>
    </row>
    <row r="431" customFormat="false" ht="15" hidden="false" customHeight="false" outlineLevel="0" collapsed="false">
      <c r="I431" s="15"/>
      <c r="N431" s="16"/>
      <c r="O431" s="17" t="str">
        <f aca="false">IF(OR($N431="",$N431=0),"",MAX(MIN($N431,Aannames!$B$5)*Aannames!$C$5+MAX(0,MIN($N431,Aannames!$B$6)-Aannames!$B$5)*Aannames!$C$6+MAX(0,MIN($N431,Aannames!$B$7)-Aannames!$B$6)*Aannames!$C$7+MAX(0,$N431-Aannames!$B$7)*Aannames!$C$8,Aannames!$B$9)+Aannames!$B$10)</f>
        <v/>
      </c>
      <c r="P431" s="18" t="str">
        <f aca="false">IF($L431="","",IFERROR(_xlfn.SWITCH($L431,"M1",Aannames!$B$16,"M2",Aannames!$B$17,"M3",Aannames!$B$18,"M4",Aannames!$B$19),""))</f>
        <v/>
      </c>
      <c r="Q431" s="17" t="str">
        <f aca="false">IF(OR($O431="",$P431=""),"",IFERROR(_xlfn.SWITCH($L431,"M1",Aannames!$B$10,"M2",Aannames!$B$10+($O431-Aannames!$B$10)*Aannames!$B$12,"M3",Aannames!$B$10+($O431-Aannames!$B$10)*(Aannames!$B$12+Aannames!$B$13),"M4",$O431),0)+($O431-IFERROR(_xlfn.SWITCH($L431,"M1",Aannames!$B$10,"M2",Aannames!$B$10+($O431-Aannames!$B$10)*Aannames!$B$12,"M3",Aannames!$B$10+($O431-Aannames!$B$10)*(Aannames!$B$12+Aannames!$B$13),"M4",$O431),0))*$P431)</f>
        <v/>
      </c>
      <c r="U431" s="15"/>
    </row>
    <row r="432" customFormat="false" ht="15" hidden="false" customHeight="false" outlineLevel="0" collapsed="false">
      <c r="I432" s="15"/>
      <c r="N432" s="16"/>
      <c r="O432" s="17" t="str">
        <f aca="false">IF(OR($N432="",$N432=0),"",MAX(MIN($N432,Aannames!$B$5)*Aannames!$C$5+MAX(0,MIN($N432,Aannames!$B$6)-Aannames!$B$5)*Aannames!$C$6+MAX(0,MIN($N432,Aannames!$B$7)-Aannames!$B$6)*Aannames!$C$7+MAX(0,$N432-Aannames!$B$7)*Aannames!$C$8,Aannames!$B$9)+Aannames!$B$10)</f>
        <v/>
      </c>
      <c r="P432" s="18" t="str">
        <f aca="false">IF($L432="","",IFERROR(_xlfn.SWITCH($L432,"M1",Aannames!$B$16,"M2",Aannames!$B$17,"M3",Aannames!$B$18,"M4",Aannames!$B$19),""))</f>
        <v/>
      </c>
      <c r="Q432" s="17" t="str">
        <f aca="false">IF(OR($O432="",$P432=""),"",IFERROR(_xlfn.SWITCH($L432,"M1",Aannames!$B$10,"M2",Aannames!$B$10+($O432-Aannames!$B$10)*Aannames!$B$12,"M3",Aannames!$B$10+($O432-Aannames!$B$10)*(Aannames!$B$12+Aannames!$B$13),"M4",$O432),0)+($O432-IFERROR(_xlfn.SWITCH($L432,"M1",Aannames!$B$10,"M2",Aannames!$B$10+($O432-Aannames!$B$10)*Aannames!$B$12,"M3",Aannames!$B$10+($O432-Aannames!$B$10)*(Aannames!$B$12+Aannames!$B$13),"M4",$O432),0))*$P432)</f>
        <v/>
      </c>
      <c r="U432" s="15"/>
    </row>
    <row r="433" customFormat="false" ht="15" hidden="false" customHeight="false" outlineLevel="0" collapsed="false">
      <c r="I433" s="15"/>
      <c r="N433" s="16"/>
      <c r="O433" s="17" t="str">
        <f aca="false">IF(OR($N433="",$N433=0),"",MAX(MIN($N433,Aannames!$B$5)*Aannames!$C$5+MAX(0,MIN($N433,Aannames!$B$6)-Aannames!$B$5)*Aannames!$C$6+MAX(0,MIN($N433,Aannames!$B$7)-Aannames!$B$6)*Aannames!$C$7+MAX(0,$N433-Aannames!$B$7)*Aannames!$C$8,Aannames!$B$9)+Aannames!$B$10)</f>
        <v/>
      </c>
      <c r="P433" s="18" t="str">
        <f aca="false">IF($L433="","",IFERROR(_xlfn.SWITCH($L433,"M1",Aannames!$B$16,"M2",Aannames!$B$17,"M3",Aannames!$B$18,"M4",Aannames!$B$19),""))</f>
        <v/>
      </c>
      <c r="Q433" s="17" t="str">
        <f aca="false">IF(OR($O433="",$P433=""),"",IFERROR(_xlfn.SWITCH($L433,"M1",Aannames!$B$10,"M2",Aannames!$B$10+($O433-Aannames!$B$10)*Aannames!$B$12,"M3",Aannames!$B$10+($O433-Aannames!$B$10)*(Aannames!$B$12+Aannames!$B$13),"M4",$O433),0)+($O433-IFERROR(_xlfn.SWITCH($L433,"M1",Aannames!$B$10,"M2",Aannames!$B$10+($O433-Aannames!$B$10)*Aannames!$B$12,"M3",Aannames!$B$10+($O433-Aannames!$B$10)*(Aannames!$B$12+Aannames!$B$13),"M4",$O433),0))*$P433)</f>
        <v/>
      </c>
      <c r="U433" s="15"/>
    </row>
    <row r="434" customFormat="false" ht="15" hidden="false" customHeight="false" outlineLevel="0" collapsed="false">
      <c r="I434" s="15"/>
      <c r="N434" s="16"/>
      <c r="O434" s="17" t="str">
        <f aca="false">IF(OR($N434="",$N434=0),"",MAX(MIN($N434,Aannames!$B$5)*Aannames!$C$5+MAX(0,MIN($N434,Aannames!$B$6)-Aannames!$B$5)*Aannames!$C$6+MAX(0,MIN($N434,Aannames!$B$7)-Aannames!$B$6)*Aannames!$C$7+MAX(0,$N434-Aannames!$B$7)*Aannames!$C$8,Aannames!$B$9)+Aannames!$B$10)</f>
        <v/>
      </c>
      <c r="P434" s="18" t="str">
        <f aca="false">IF($L434="","",IFERROR(_xlfn.SWITCH($L434,"M1",Aannames!$B$16,"M2",Aannames!$B$17,"M3",Aannames!$B$18,"M4",Aannames!$B$19),""))</f>
        <v/>
      </c>
      <c r="Q434" s="17" t="str">
        <f aca="false">IF(OR($O434="",$P434=""),"",IFERROR(_xlfn.SWITCH($L434,"M1",Aannames!$B$10,"M2",Aannames!$B$10+($O434-Aannames!$B$10)*Aannames!$B$12,"M3",Aannames!$B$10+($O434-Aannames!$B$10)*(Aannames!$B$12+Aannames!$B$13),"M4",$O434),0)+($O434-IFERROR(_xlfn.SWITCH($L434,"M1",Aannames!$B$10,"M2",Aannames!$B$10+($O434-Aannames!$B$10)*Aannames!$B$12,"M3",Aannames!$B$10+($O434-Aannames!$B$10)*(Aannames!$B$12+Aannames!$B$13),"M4",$O434),0))*$P434)</f>
        <v/>
      </c>
      <c r="U434" s="15"/>
    </row>
    <row r="435" customFormat="false" ht="15" hidden="false" customHeight="false" outlineLevel="0" collapsed="false">
      <c r="I435" s="15"/>
      <c r="N435" s="16"/>
      <c r="O435" s="17" t="str">
        <f aca="false">IF(OR($N435="",$N435=0),"",MAX(MIN($N435,Aannames!$B$5)*Aannames!$C$5+MAX(0,MIN($N435,Aannames!$B$6)-Aannames!$B$5)*Aannames!$C$6+MAX(0,MIN($N435,Aannames!$B$7)-Aannames!$B$6)*Aannames!$C$7+MAX(0,$N435-Aannames!$B$7)*Aannames!$C$8,Aannames!$B$9)+Aannames!$B$10)</f>
        <v/>
      </c>
      <c r="P435" s="18" t="str">
        <f aca="false">IF($L435="","",IFERROR(_xlfn.SWITCH($L435,"M1",Aannames!$B$16,"M2",Aannames!$B$17,"M3",Aannames!$B$18,"M4",Aannames!$B$19),""))</f>
        <v/>
      </c>
      <c r="Q435" s="17" t="str">
        <f aca="false">IF(OR($O435="",$P435=""),"",IFERROR(_xlfn.SWITCH($L435,"M1",Aannames!$B$10,"M2",Aannames!$B$10+($O435-Aannames!$B$10)*Aannames!$B$12,"M3",Aannames!$B$10+($O435-Aannames!$B$10)*(Aannames!$B$12+Aannames!$B$13),"M4",$O435),0)+($O435-IFERROR(_xlfn.SWITCH($L435,"M1",Aannames!$B$10,"M2",Aannames!$B$10+($O435-Aannames!$B$10)*Aannames!$B$12,"M3",Aannames!$B$10+($O435-Aannames!$B$10)*(Aannames!$B$12+Aannames!$B$13),"M4",$O435),0))*$P435)</f>
        <v/>
      </c>
      <c r="U435" s="15"/>
    </row>
    <row r="436" customFormat="false" ht="15" hidden="false" customHeight="false" outlineLevel="0" collapsed="false">
      <c r="I436" s="15"/>
      <c r="N436" s="16"/>
      <c r="O436" s="17" t="str">
        <f aca="false">IF(OR($N436="",$N436=0),"",MAX(MIN($N436,Aannames!$B$5)*Aannames!$C$5+MAX(0,MIN($N436,Aannames!$B$6)-Aannames!$B$5)*Aannames!$C$6+MAX(0,MIN($N436,Aannames!$B$7)-Aannames!$B$6)*Aannames!$C$7+MAX(0,$N436-Aannames!$B$7)*Aannames!$C$8,Aannames!$B$9)+Aannames!$B$10)</f>
        <v/>
      </c>
      <c r="P436" s="18" t="str">
        <f aca="false">IF($L436="","",IFERROR(_xlfn.SWITCH($L436,"M1",Aannames!$B$16,"M2",Aannames!$B$17,"M3",Aannames!$B$18,"M4",Aannames!$B$19),""))</f>
        <v/>
      </c>
      <c r="Q436" s="17" t="str">
        <f aca="false">IF(OR($O436="",$P436=""),"",IFERROR(_xlfn.SWITCH($L436,"M1",Aannames!$B$10,"M2",Aannames!$B$10+($O436-Aannames!$B$10)*Aannames!$B$12,"M3",Aannames!$B$10+($O436-Aannames!$B$10)*(Aannames!$B$12+Aannames!$B$13),"M4",$O436),0)+($O436-IFERROR(_xlfn.SWITCH($L436,"M1",Aannames!$B$10,"M2",Aannames!$B$10+($O436-Aannames!$B$10)*Aannames!$B$12,"M3",Aannames!$B$10+($O436-Aannames!$B$10)*(Aannames!$B$12+Aannames!$B$13),"M4",$O436),0))*$P436)</f>
        <v/>
      </c>
      <c r="U436" s="15"/>
    </row>
    <row r="437" customFormat="false" ht="15" hidden="false" customHeight="false" outlineLevel="0" collapsed="false">
      <c r="I437" s="15"/>
      <c r="N437" s="16"/>
      <c r="O437" s="17" t="str">
        <f aca="false">IF(OR($N437="",$N437=0),"",MAX(MIN($N437,Aannames!$B$5)*Aannames!$C$5+MAX(0,MIN($N437,Aannames!$B$6)-Aannames!$B$5)*Aannames!$C$6+MAX(0,MIN($N437,Aannames!$B$7)-Aannames!$B$6)*Aannames!$C$7+MAX(0,$N437-Aannames!$B$7)*Aannames!$C$8,Aannames!$B$9)+Aannames!$B$10)</f>
        <v/>
      </c>
      <c r="P437" s="18" t="str">
        <f aca="false">IF($L437="","",IFERROR(_xlfn.SWITCH($L437,"M1",Aannames!$B$16,"M2",Aannames!$B$17,"M3",Aannames!$B$18,"M4",Aannames!$B$19),""))</f>
        <v/>
      </c>
      <c r="Q437" s="17" t="str">
        <f aca="false">IF(OR($O437="",$P437=""),"",IFERROR(_xlfn.SWITCH($L437,"M1",Aannames!$B$10,"M2",Aannames!$B$10+($O437-Aannames!$B$10)*Aannames!$B$12,"M3",Aannames!$B$10+($O437-Aannames!$B$10)*(Aannames!$B$12+Aannames!$B$13),"M4",$O437),0)+($O437-IFERROR(_xlfn.SWITCH($L437,"M1",Aannames!$B$10,"M2",Aannames!$B$10+($O437-Aannames!$B$10)*Aannames!$B$12,"M3",Aannames!$B$10+($O437-Aannames!$B$10)*(Aannames!$B$12+Aannames!$B$13),"M4",$O437),0))*$P437)</f>
        <v/>
      </c>
      <c r="U437" s="15"/>
    </row>
    <row r="438" customFormat="false" ht="15" hidden="false" customHeight="false" outlineLevel="0" collapsed="false">
      <c r="I438" s="15"/>
      <c r="N438" s="16"/>
      <c r="O438" s="17" t="str">
        <f aca="false">IF(OR($N438="",$N438=0),"",MAX(MIN($N438,Aannames!$B$5)*Aannames!$C$5+MAX(0,MIN($N438,Aannames!$B$6)-Aannames!$B$5)*Aannames!$C$6+MAX(0,MIN($N438,Aannames!$B$7)-Aannames!$B$6)*Aannames!$C$7+MAX(0,$N438-Aannames!$B$7)*Aannames!$C$8,Aannames!$B$9)+Aannames!$B$10)</f>
        <v/>
      </c>
      <c r="P438" s="18" t="str">
        <f aca="false">IF($L438="","",IFERROR(_xlfn.SWITCH($L438,"M1",Aannames!$B$16,"M2",Aannames!$B$17,"M3",Aannames!$B$18,"M4",Aannames!$B$19),""))</f>
        <v/>
      </c>
      <c r="Q438" s="17" t="str">
        <f aca="false">IF(OR($O438="",$P438=""),"",IFERROR(_xlfn.SWITCH($L438,"M1",Aannames!$B$10,"M2",Aannames!$B$10+($O438-Aannames!$B$10)*Aannames!$B$12,"M3",Aannames!$B$10+($O438-Aannames!$B$10)*(Aannames!$B$12+Aannames!$B$13),"M4",$O438),0)+($O438-IFERROR(_xlfn.SWITCH($L438,"M1",Aannames!$B$10,"M2",Aannames!$B$10+($O438-Aannames!$B$10)*Aannames!$B$12,"M3",Aannames!$B$10+($O438-Aannames!$B$10)*(Aannames!$B$12+Aannames!$B$13),"M4",$O438),0))*$P438)</f>
        <v/>
      </c>
      <c r="U438" s="15"/>
    </row>
    <row r="439" customFormat="false" ht="15" hidden="false" customHeight="false" outlineLevel="0" collapsed="false">
      <c r="I439" s="15"/>
      <c r="N439" s="16"/>
      <c r="O439" s="17" t="str">
        <f aca="false">IF(OR($N439="",$N439=0),"",MAX(MIN($N439,Aannames!$B$5)*Aannames!$C$5+MAX(0,MIN($N439,Aannames!$B$6)-Aannames!$B$5)*Aannames!$C$6+MAX(0,MIN($N439,Aannames!$B$7)-Aannames!$B$6)*Aannames!$C$7+MAX(0,$N439-Aannames!$B$7)*Aannames!$C$8,Aannames!$B$9)+Aannames!$B$10)</f>
        <v/>
      </c>
      <c r="P439" s="18" t="str">
        <f aca="false">IF($L439="","",IFERROR(_xlfn.SWITCH($L439,"M1",Aannames!$B$16,"M2",Aannames!$B$17,"M3",Aannames!$B$18,"M4",Aannames!$B$19),""))</f>
        <v/>
      </c>
      <c r="Q439" s="17" t="str">
        <f aca="false">IF(OR($O439="",$P439=""),"",IFERROR(_xlfn.SWITCH($L439,"M1",Aannames!$B$10,"M2",Aannames!$B$10+($O439-Aannames!$B$10)*Aannames!$B$12,"M3",Aannames!$B$10+($O439-Aannames!$B$10)*(Aannames!$B$12+Aannames!$B$13),"M4",$O439),0)+($O439-IFERROR(_xlfn.SWITCH($L439,"M1",Aannames!$B$10,"M2",Aannames!$B$10+($O439-Aannames!$B$10)*Aannames!$B$12,"M3",Aannames!$B$10+($O439-Aannames!$B$10)*(Aannames!$B$12+Aannames!$B$13),"M4",$O439),0))*$P439)</f>
        <v/>
      </c>
      <c r="U439" s="15"/>
    </row>
    <row r="440" customFormat="false" ht="15" hidden="false" customHeight="false" outlineLevel="0" collapsed="false">
      <c r="I440" s="15"/>
      <c r="N440" s="16"/>
      <c r="O440" s="17" t="str">
        <f aca="false">IF(OR($N440="",$N440=0),"",MAX(MIN($N440,Aannames!$B$5)*Aannames!$C$5+MAX(0,MIN($N440,Aannames!$B$6)-Aannames!$B$5)*Aannames!$C$6+MAX(0,MIN($N440,Aannames!$B$7)-Aannames!$B$6)*Aannames!$C$7+MAX(0,$N440-Aannames!$B$7)*Aannames!$C$8,Aannames!$B$9)+Aannames!$B$10)</f>
        <v/>
      </c>
      <c r="P440" s="18" t="str">
        <f aca="false">IF($L440="","",IFERROR(_xlfn.SWITCH($L440,"M1",Aannames!$B$16,"M2",Aannames!$B$17,"M3",Aannames!$B$18,"M4",Aannames!$B$19),""))</f>
        <v/>
      </c>
      <c r="Q440" s="17" t="str">
        <f aca="false">IF(OR($O440="",$P440=""),"",IFERROR(_xlfn.SWITCH($L440,"M1",Aannames!$B$10,"M2",Aannames!$B$10+($O440-Aannames!$B$10)*Aannames!$B$12,"M3",Aannames!$B$10+($O440-Aannames!$B$10)*(Aannames!$B$12+Aannames!$B$13),"M4",$O440),0)+($O440-IFERROR(_xlfn.SWITCH($L440,"M1",Aannames!$B$10,"M2",Aannames!$B$10+($O440-Aannames!$B$10)*Aannames!$B$12,"M3",Aannames!$B$10+($O440-Aannames!$B$10)*(Aannames!$B$12+Aannames!$B$13),"M4",$O440),0))*$P440)</f>
        <v/>
      </c>
      <c r="U440" s="15"/>
    </row>
    <row r="441" customFormat="false" ht="15" hidden="false" customHeight="false" outlineLevel="0" collapsed="false">
      <c r="I441" s="15"/>
      <c r="N441" s="16"/>
      <c r="O441" s="17" t="str">
        <f aca="false">IF(OR($N441="",$N441=0),"",MAX(MIN($N441,Aannames!$B$5)*Aannames!$C$5+MAX(0,MIN($N441,Aannames!$B$6)-Aannames!$B$5)*Aannames!$C$6+MAX(0,MIN($N441,Aannames!$B$7)-Aannames!$B$6)*Aannames!$C$7+MAX(0,$N441-Aannames!$B$7)*Aannames!$C$8,Aannames!$B$9)+Aannames!$B$10)</f>
        <v/>
      </c>
      <c r="P441" s="18" t="str">
        <f aca="false">IF($L441="","",IFERROR(_xlfn.SWITCH($L441,"M1",Aannames!$B$16,"M2",Aannames!$B$17,"M3",Aannames!$B$18,"M4",Aannames!$B$19),""))</f>
        <v/>
      </c>
      <c r="Q441" s="17" t="str">
        <f aca="false">IF(OR($O441="",$P441=""),"",IFERROR(_xlfn.SWITCH($L441,"M1",Aannames!$B$10,"M2",Aannames!$B$10+($O441-Aannames!$B$10)*Aannames!$B$12,"M3",Aannames!$B$10+($O441-Aannames!$B$10)*(Aannames!$B$12+Aannames!$B$13),"M4",$O441),0)+($O441-IFERROR(_xlfn.SWITCH($L441,"M1",Aannames!$B$10,"M2",Aannames!$B$10+($O441-Aannames!$B$10)*Aannames!$B$12,"M3",Aannames!$B$10+($O441-Aannames!$B$10)*(Aannames!$B$12+Aannames!$B$13),"M4",$O441),0))*$P441)</f>
        <v/>
      </c>
      <c r="U441" s="15"/>
    </row>
    <row r="442" customFormat="false" ht="15" hidden="false" customHeight="false" outlineLevel="0" collapsed="false">
      <c r="I442" s="15"/>
      <c r="N442" s="16"/>
      <c r="O442" s="17" t="str">
        <f aca="false">IF(OR($N442="",$N442=0),"",MAX(MIN($N442,Aannames!$B$5)*Aannames!$C$5+MAX(0,MIN($N442,Aannames!$B$6)-Aannames!$B$5)*Aannames!$C$6+MAX(0,MIN($N442,Aannames!$B$7)-Aannames!$B$6)*Aannames!$C$7+MAX(0,$N442-Aannames!$B$7)*Aannames!$C$8,Aannames!$B$9)+Aannames!$B$10)</f>
        <v/>
      </c>
      <c r="P442" s="18" t="str">
        <f aca="false">IF($L442="","",IFERROR(_xlfn.SWITCH($L442,"M1",Aannames!$B$16,"M2",Aannames!$B$17,"M3",Aannames!$B$18,"M4",Aannames!$B$19),""))</f>
        <v/>
      </c>
      <c r="Q442" s="17" t="str">
        <f aca="false">IF(OR($O442="",$P442=""),"",IFERROR(_xlfn.SWITCH($L442,"M1",Aannames!$B$10,"M2",Aannames!$B$10+($O442-Aannames!$B$10)*Aannames!$B$12,"M3",Aannames!$B$10+($O442-Aannames!$B$10)*(Aannames!$B$12+Aannames!$B$13),"M4",$O442),0)+($O442-IFERROR(_xlfn.SWITCH($L442,"M1",Aannames!$B$10,"M2",Aannames!$B$10+($O442-Aannames!$B$10)*Aannames!$B$12,"M3",Aannames!$B$10+($O442-Aannames!$B$10)*(Aannames!$B$12+Aannames!$B$13),"M4",$O442),0))*$P442)</f>
        <v/>
      </c>
      <c r="U442" s="15"/>
    </row>
    <row r="443" customFormat="false" ht="15" hidden="false" customHeight="false" outlineLevel="0" collapsed="false">
      <c r="I443" s="15"/>
      <c r="N443" s="16"/>
      <c r="O443" s="17" t="str">
        <f aca="false">IF(OR($N443="",$N443=0),"",MAX(MIN($N443,Aannames!$B$5)*Aannames!$C$5+MAX(0,MIN($N443,Aannames!$B$6)-Aannames!$B$5)*Aannames!$C$6+MAX(0,MIN($N443,Aannames!$B$7)-Aannames!$B$6)*Aannames!$C$7+MAX(0,$N443-Aannames!$B$7)*Aannames!$C$8,Aannames!$B$9)+Aannames!$B$10)</f>
        <v/>
      </c>
      <c r="P443" s="18" t="str">
        <f aca="false">IF($L443="","",IFERROR(_xlfn.SWITCH($L443,"M1",Aannames!$B$16,"M2",Aannames!$B$17,"M3",Aannames!$B$18,"M4",Aannames!$B$19),""))</f>
        <v/>
      </c>
      <c r="Q443" s="17" t="str">
        <f aca="false">IF(OR($O443="",$P443=""),"",IFERROR(_xlfn.SWITCH($L443,"M1",Aannames!$B$10,"M2",Aannames!$B$10+($O443-Aannames!$B$10)*Aannames!$B$12,"M3",Aannames!$B$10+($O443-Aannames!$B$10)*(Aannames!$B$12+Aannames!$B$13),"M4",$O443),0)+($O443-IFERROR(_xlfn.SWITCH($L443,"M1",Aannames!$B$10,"M2",Aannames!$B$10+($O443-Aannames!$B$10)*Aannames!$B$12,"M3",Aannames!$B$10+($O443-Aannames!$B$10)*(Aannames!$B$12+Aannames!$B$13),"M4",$O443),0))*$P443)</f>
        <v/>
      </c>
      <c r="U443" s="15"/>
    </row>
    <row r="444" customFormat="false" ht="15" hidden="false" customHeight="false" outlineLevel="0" collapsed="false">
      <c r="I444" s="15"/>
      <c r="N444" s="16"/>
      <c r="O444" s="17" t="str">
        <f aca="false">IF(OR($N444="",$N444=0),"",MAX(MIN($N444,Aannames!$B$5)*Aannames!$C$5+MAX(0,MIN($N444,Aannames!$B$6)-Aannames!$B$5)*Aannames!$C$6+MAX(0,MIN($N444,Aannames!$B$7)-Aannames!$B$6)*Aannames!$C$7+MAX(0,$N444-Aannames!$B$7)*Aannames!$C$8,Aannames!$B$9)+Aannames!$B$10)</f>
        <v/>
      </c>
      <c r="P444" s="18" t="str">
        <f aca="false">IF($L444="","",IFERROR(_xlfn.SWITCH($L444,"M1",Aannames!$B$16,"M2",Aannames!$B$17,"M3",Aannames!$B$18,"M4",Aannames!$B$19),""))</f>
        <v/>
      </c>
      <c r="Q444" s="17" t="str">
        <f aca="false">IF(OR($O444="",$P444=""),"",IFERROR(_xlfn.SWITCH($L444,"M1",Aannames!$B$10,"M2",Aannames!$B$10+($O444-Aannames!$B$10)*Aannames!$B$12,"M3",Aannames!$B$10+($O444-Aannames!$B$10)*(Aannames!$B$12+Aannames!$B$13),"M4",$O444),0)+($O444-IFERROR(_xlfn.SWITCH($L444,"M1",Aannames!$B$10,"M2",Aannames!$B$10+($O444-Aannames!$B$10)*Aannames!$B$12,"M3",Aannames!$B$10+($O444-Aannames!$B$10)*(Aannames!$B$12+Aannames!$B$13),"M4",$O444),0))*$P444)</f>
        <v/>
      </c>
      <c r="U444" s="15"/>
    </row>
    <row r="445" customFormat="false" ht="15" hidden="false" customHeight="false" outlineLevel="0" collapsed="false">
      <c r="I445" s="15"/>
      <c r="N445" s="16"/>
      <c r="O445" s="17" t="str">
        <f aca="false">IF(OR($N445="",$N445=0),"",MAX(MIN($N445,Aannames!$B$5)*Aannames!$C$5+MAX(0,MIN($N445,Aannames!$B$6)-Aannames!$B$5)*Aannames!$C$6+MAX(0,MIN($N445,Aannames!$B$7)-Aannames!$B$6)*Aannames!$C$7+MAX(0,$N445-Aannames!$B$7)*Aannames!$C$8,Aannames!$B$9)+Aannames!$B$10)</f>
        <v/>
      </c>
      <c r="P445" s="18" t="str">
        <f aca="false">IF($L445="","",IFERROR(_xlfn.SWITCH($L445,"M1",Aannames!$B$16,"M2",Aannames!$B$17,"M3",Aannames!$B$18,"M4",Aannames!$B$19),""))</f>
        <v/>
      </c>
      <c r="Q445" s="17" t="str">
        <f aca="false">IF(OR($O445="",$P445=""),"",IFERROR(_xlfn.SWITCH($L445,"M1",Aannames!$B$10,"M2",Aannames!$B$10+($O445-Aannames!$B$10)*Aannames!$B$12,"M3",Aannames!$B$10+($O445-Aannames!$B$10)*(Aannames!$B$12+Aannames!$B$13),"M4",$O445),0)+($O445-IFERROR(_xlfn.SWITCH($L445,"M1",Aannames!$B$10,"M2",Aannames!$B$10+($O445-Aannames!$B$10)*Aannames!$B$12,"M3",Aannames!$B$10+($O445-Aannames!$B$10)*(Aannames!$B$12+Aannames!$B$13),"M4",$O445),0))*$P445)</f>
        <v/>
      </c>
      <c r="U445" s="15"/>
    </row>
    <row r="446" customFormat="false" ht="15" hidden="false" customHeight="false" outlineLevel="0" collapsed="false">
      <c r="I446" s="15"/>
      <c r="N446" s="16"/>
      <c r="O446" s="17" t="str">
        <f aca="false">IF(OR($N446="",$N446=0),"",MAX(MIN($N446,Aannames!$B$5)*Aannames!$C$5+MAX(0,MIN($N446,Aannames!$B$6)-Aannames!$B$5)*Aannames!$C$6+MAX(0,MIN($N446,Aannames!$B$7)-Aannames!$B$6)*Aannames!$C$7+MAX(0,$N446-Aannames!$B$7)*Aannames!$C$8,Aannames!$B$9)+Aannames!$B$10)</f>
        <v/>
      </c>
      <c r="P446" s="18" t="str">
        <f aca="false">IF($L446="","",IFERROR(_xlfn.SWITCH($L446,"M1",Aannames!$B$16,"M2",Aannames!$B$17,"M3",Aannames!$B$18,"M4",Aannames!$B$19),""))</f>
        <v/>
      </c>
      <c r="Q446" s="17" t="str">
        <f aca="false">IF(OR($O446="",$P446=""),"",IFERROR(_xlfn.SWITCH($L446,"M1",Aannames!$B$10,"M2",Aannames!$B$10+($O446-Aannames!$B$10)*Aannames!$B$12,"M3",Aannames!$B$10+($O446-Aannames!$B$10)*(Aannames!$B$12+Aannames!$B$13),"M4",$O446),0)+($O446-IFERROR(_xlfn.SWITCH($L446,"M1",Aannames!$B$10,"M2",Aannames!$B$10+($O446-Aannames!$B$10)*Aannames!$B$12,"M3",Aannames!$B$10+($O446-Aannames!$B$10)*(Aannames!$B$12+Aannames!$B$13),"M4",$O446),0))*$P446)</f>
        <v/>
      </c>
      <c r="U446" s="15"/>
    </row>
    <row r="447" customFormat="false" ht="15" hidden="false" customHeight="false" outlineLevel="0" collapsed="false">
      <c r="I447" s="15"/>
      <c r="N447" s="16"/>
      <c r="O447" s="17" t="str">
        <f aca="false">IF(OR($N447="",$N447=0),"",MAX(MIN($N447,Aannames!$B$5)*Aannames!$C$5+MAX(0,MIN($N447,Aannames!$B$6)-Aannames!$B$5)*Aannames!$C$6+MAX(0,MIN($N447,Aannames!$B$7)-Aannames!$B$6)*Aannames!$C$7+MAX(0,$N447-Aannames!$B$7)*Aannames!$C$8,Aannames!$B$9)+Aannames!$B$10)</f>
        <v/>
      </c>
      <c r="P447" s="18" t="str">
        <f aca="false">IF($L447="","",IFERROR(_xlfn.SWITCH($L447,"M1",Aannames!$B$16,"M2",Aannames!$B$17,"M3",Aannames!$B$18,"M4",Aannames!$B$19),""))</f>
        <v/>
      </c>
      <c r="Q447" s="17" t="str">
        <f aca="false">IF(OR($O447="",$P447=""),"",IFERROR(_xlfn.SWITCH($L447,"M1",Aannames!$B$10,"M2",Aannames!$B$10+($O447-Aannames!$B$10)*Aannames!$B$12,"M3",Aannames!$B$10+($O447-Aannames!$B$10)*(Aannames!$B$12+Aannames!$B$13),"M4",$O447),0)+($O447-IFERROR(_xlfn.SWITCH($L447,"M1",Aannames!$B$10,"M2",Aannames!$B$10+($O447-Aannames!$B$10)*Aannames!$B$12,"M3",Aannames!$B$10+($O447-Aannames!$B$10)*(Aannames!$B$12+Aannames!$B$13),"M4",$O447),0))*$P447)</f>
        <v/>
      </c>
      <c r="U447" s="15"/>
    </row>
    <row r="448" customFormat="false" ht="15" hidden="false" customHeight="false" outlineLevel="0" collapsed="false">
      <c r="I448" s="15"/>
      <c r="N448" s="16"/>
      <c r="O448" s="17" t="str">
        <f aca="false">IF(OR($N448="",$N448=0),"",MAX(MIN($N448,Aannames!$B$5)*Aannames!$C$5+MAX(0,MIN($N448,Aannames!$B$6)-Aannames!$B$5)*Aannames!$C$6+MAX(0,MIN($N448,Aannames!$B$7)-Aannames!$B$6)*Aannames!$C$7+MAX(0,$N448-Aannames!$B$7)*Aannames!$C$8,Aannames!$B$9)+Aannames!$B$10)</f>
        <v/>
      </c>
      <c r="P448" s="18" t="str">
        <f aca="false">IF($L448="","",IFERROR(_xlfn.SWITCH($L448,"M1",Aannames!$B$16,"M2",Aannames!$B$17,"M3",Aannames!$B$18,"M4",Aannames!$B$19),""))</f>
        <v/>
      </c>
      <c r="Q448" s="17" t="str">
        <f aca="false">IF(OR($O448="",$P448=""),"",IFERROR(_xlfn.SWITCH($L448,"M1",Aannames!$B$10,"M2",Aannames!$B$10+($O448-Aannames!$B$10)*Aannames!$B$12,"M3",Aannames!$B$10+($O448-Aannames!$B$10)*(Aannames!$B$12+Aannames!$B$13),"M4",$O448),0)+($O448-IFERROR(_xlfn.SWITCH($L448,"M1",Aannames!$B$10,"M2",Aannames!$B$10+($O448-Aannames!$B$10)*Aannames!$B$12,"M3",Aannames!$B$10+($O448-Aannames!$B$10)*(Aannames!$B$12+Aannames!$B$13),"M4",$O448),0))*$P448)</f>
        <v/>
      </c>
      <c r="U448" s="15"/>
    </row>
    <row r="449" customFormat="false" ht="15" hidden="false" customHeight="false" outlineLevel="0" collapsed="false">
      <c r="I449" s="15"/>
      <c r="N449" s="16"/>
      <c r="O449" s="17" t="str">
        <f aca="false">IF(OR($N449="",$N449=0),"",MAX(MIN($N449,Aannames!$B$5)*Aannames!$C$5+MAX(0,MIN($N449,Aannames!$B$6)-Aannames!$B$5)*Aannames!$C$6+MAX(0,MIN($N449,Aannames!$B$7)-Aannames!$B$6)*Aannames!$C$7+MAX(0,$N449-Aannames!$B$7)*Aannames!$C$8,Aannames!$B$9)+Aannames!$B$10)</f>
        <v/>
      </c>
      <c r="P449" s="18" t="str">
        <f aca="false">IF($L449="","",IFERROR(_xlfn.SWITCH($L449,"M1",Aannames!$B$16,"M2",Aannames!$B$17,"M3",Aannames!$B$18,"M4",Aannames!$B$19),""))</f>
        <v/>
      </c>
      <c r="Q449" s="17" t="str">
        <f aca="false">IF(OR($O449="",$P449=""),"",IFERROR(_xlfn.SWITCH($L449,"M1",Aannames!$B$10,"M2",Aannames!$B$10+($O449-Aannames!$B$10)*Aannames!$B$12,"M3",Aannames!$B$10+($O449-Aannames!$B$10)*(Aannames!$B$12+Aannames!$B$13),"M4",$O449),0)+($O449-IFERROR(_xlfn.SWITCH($L449,"M1",Aannames!$B$10,"M2",Aannames!$B$10+($O449-Aannames!$B$10)*Aannames!$B$12,"M3",Aannames!$B$10+($O449-Aannames!$B$10)*(Aannames!$B$12+Aannames!$B$13),"M4",$O449),0))*$P449)</f>
        <v/>
      </c>
      <c r="U449" s="15"/>
    </row>
    <row r="450" customFormat="false" ht="15" hidden="false" customHeight="false" outlineLevel="0" collapsed="false">
      <c r="I450" s="15"/>
      <c r="N450" s="16"/>
      <c r="O450" s="17" t="str">
        <f aca="false">IF(OR($N450="",$N450=0),"",MAX(MIN($N450,Aannames!$B$5)*Aannames!$C$5+MAX(0,MIN($N450,Aannames!$B$6)-Aannames!$B$5)*Aannames!$C$6+MAX(0,MIN($N450,Aannames!$B$7)-Aannames!$B$6)*Aannames!$C$7+MAX(0,$N450-Aannames!$B$7)*Aannames!$C$8,Aannames!$B$9)+Aannames!$B$10)</f>
        <v/>
      </c>
      <c r="P450" s="18" t="str">
        <f aca="false">IF($L450="","",IFERROR(_xlfn.SWITCH($L450,"M1",Aannames!$B$16,"M2",Aannames!$B$17,"M3",Aannames!$B$18,"M4",Aannames!$B$19),""))</f>
        <v/>
      </c>
      <c r="Q450" s="17" t="str">
        <f aca="false">IF(OR($O450="",$P450=""),"",IFERROR(_xlfn.SWITCH($L450,"M1",Aannames!$B$10,"M2",Aannames!$B$10+($O450-Aannames!$B$10)*Aannames!$B$12,"M3",Aannames!$B$10+($O450-Aannames!$B$10)*(Aannames!$B$12+Aannames!$B$13),"M4",$O450),0)+($O450-IFERROR(_xlfn.SWITCH($L450,"M1",Aannames!$B$10,"M2",Aannames!$B$10+($O450-Aannames!$B$10)*Aannames!$B$12,"M3",Aannames!$B$10+($O450-Aannames!$B$10)*(Aannames!$B$12+Aannames!$B$13),"M4",$O450),0))*$P450)</f>
        <v/>
      </c>
      <c r="U450" s="15"/>
    </row>
    <row r="451" customFormat="false" ht="15" hidden="false" customHeight="false" outlineLevel="0" collapsed="false">
      <c r="I451" s="15"/>
      <c r="N451" s="16"/>
      <c r="O451" s="17" t="str">
        <f aca="false">IF(OR($N451="",$N451=0),"",MAX(MIN($N451,Aannames!$B$5)*Aannames!$C$5+MAX(0,MIN($N451,Aannames!$B$6)-Aannames!$B$5)*Aannames!$C$6+MAX(0,MIN($N451,Aannames!$B$7)-Aannames!$B$6)*Aannames!$C$7+MAX(0,$N451-Aannames!$B$7)*Aannames!$C$8,Aannames!$B$9)+Aannames!$B$10)</f>
        <v/>
      </c>
      <c r="P451" s="18" t="str">
        <f aca="false">IF($L451="","",IFERROR(_xlfn.SWITCH($L451,"M1",Aannames!$B$16,"M2",Aannames!$B$17,"M3",Aannames!$B$18,"M4",Aannames!$B$19),""))</f>
        <v/>
      </c>
      <c r="Q451" s="17" t="str">
        <f aca="false">IF(OR($O451="",$P451=""),"",IFERROR(_xlfn.SWITCH($L451,"M1",Aannames!$B$10,"M2",Aannames!$B$10+($O451-Aannames!$B$10)*Aannames!$B$12,"M3",Aannames!$B$10+($O451-Aannames!$B$10)*(Aannames!$B$12+Aannames!$B$13),"M4",$O451),0)+($O451-IFERROR(_xlfn.SWITCH($L451,"M1",Aannames!$B$10,"M2",Aannames!$B$10+($O451-Aannames!$B$10)*Aannames!$B$12,"M3",Aannames!$B$10+($O451-Aannames!$B$10)*(Aannames!$B$12+Aannames!$B$13),"M4",$O451),0))*$P451)</f>
        <v/>
      </c>
      <c r="U451" s="15"/>
    </row>
    <row r="452" customFormat="false" ht="15" hidden="false" customHeight="false" outlineLevel="0" collapsed="false">
      <c r="I452" s="15"/>
      <c r="N452" s="16"/>
      <c r="O452" s="17" t="str">
        <f aca="false">IF(OR($N452="",$N452=0),"",MAX(MIN($N452,Aannames!$B$5)*Aannames!$C$5+MAX(0,MIN($N452,Aannames!$B$6)-Aannames!$B$5)*Aannames!$C$6+MAX(0,MIN($N452,Aannames!$B$7)-Aannames!$B$6)*Aannames!$C$7+MAX(0,$N452-Aannames!$B$7)*Aannames!$C$8,Aannames!$B$9)+Aannames!$B$10)</f>
        <v/>
      </c>
      <c r="P452" s="18" t="str">
        <f aca="false">IF($L452="","",IFERROR(_xlfn.SWITCH($L452,"M1",Aannames!$B$16,"M2",Aannames!$B$17,"M3",Aannames!$B$18,"M4",Aannames!$B$19),""))</f>
        <v/>
      </c>
      <c r="Q452" s="17" t="str">
        <f aca="false">IF(OR($O452="",$P452=""),"",IFERROR(_xlfn.SWITCH($L452,"M1",Aannames!$B$10,"M2",Aannames!$B$10+($O452-Aannames!$B$10)*Aannames!$B$12,"M3",Aannames!$B$10+($O452-Aannames!$B$10)*(Aannames!$B$12+Aannames!$B$13),"M4",$O452),0)+($O452-IFERROR(_xlfn.SWITCH($L452,"M1",Aannames!$B$10,"M2",Aannames!$B$10+($O452-Aannames!$B$10)*Aannames!$B$12,"M3",Aannames!$B$10+($O452-Aannames!$B$10)*(Aannames!$B$12+Aannames!$B$13),"M4",$O452),0))*$P452)</f>
        <v/>
      </c>
      <c r="U452" s="15"/>
    </row>
    <row r="453" customFormat="false" ht="15" hidden="false" customHeight="false" outlineLevel="0" collapsed="false">
      <c r="I453" s="15"/>
      <c r="N453" s="16"/>
      <c r="O453" s="17" t="str">
        <f aca="false">IF(OR($N453="",$N453=0),"",MAX(MIN($N453,Aannames!$B$5)*Aannames!$C$5+MAX(0,MIN($N453,Aannames!$B$6)-Aannames!$B$5)*Aannames!$C$6+MAX(0,MIN($N453,Aannames!$B$7)-Aannames!$B$6)*Aannames!$C$7+MAX(0,$N453-Aannames!$B$7)*Aannames!$C$8,Aannames!$B$9)+Aannames!$B$10)</f>
        <v/>
      </c>
      <c r="P453" s="18" t="str">
        <f aca="false">IF($L453="","",IFERROR(_xlfn.SWITCH($L453,"M1",Aannames!$B$16,"M2",Aannames!$B$17,"M3",Aannames!$B$18,"M4",Aannames!$B$19),""))</f>
        <v/>
      </c>
      <c r="Q453" s="17" t="str">
        <f aca="false">IF(OR($O453="",$P453=""),"",IFERROR(_xlfn.SWITCH($L453,"M1",Aannames!$B$10,"M2",Aannames!$B$10+($O453-Aannames!$B$10)*Aannames!$B$12,"M3",Aannames!$B$10+($O453-Aannames!$B$10)*(Aannames!$B$12+Aannames!$B$13),"M4",$O453),0)+($O453-IFERROR(_xlfn.SWITCH($L453,"M1",Aannames!$B$10,"M2",Aannames!$B$10+($O453-Aannames!$B$10)*Aannames!$B$12,"M3",Aannames!$B$10+($O453-Aannames!$B$10)*(Aannames!$B$12+Aannames!$B$13),"M4",$O453),0))*$P453)</f>
        <v/>
      </c>
      <c r="U453" s="15"/>
    </row>
    <row r="454" customFormat="false" ht="15" hidden="false" customHeight="false" outlineLevel="0" collapsed="false">
      <c r="I454" s="15"/>
      <c r="N454" s="16"/>
      <c r="O454" s="17" t="str">
        <f aca="false">IF(OR($N454="",$N454=0),"",MAX(MIN($N454,Aannames!$B$5)*Aannames!$C$5+MAX(0,MIN($N454,Aannames!$B$6)-Aannames!$B$5)*Aannames!$C$6+MAX(0,MIN($N454,Aannames!$B$7)-Aannames!$B$6)*Aannames!$C$7+MAX(0,$N454-Aannames!$B$7)*Aannames!$C$8,Aannames!$B$9)+Aannames!$B$10)</f>
        <v/>
      </c>
      <c r="P454" s="18" t="str">
        <f aca="false">IF($L454="","",IFERROR(_xlfn.SWITCH($L454,"M1",Aannames!$B$16,"M2",Aannames!$B$17,"M3",Aannames!$B$18,"M4",Aannames!$B$19),""))</f>
        <v/>
      </c>
      <c r="Q454" s="17" t="str">
        <f aca="false">IF(OR($O454="",$P454=""),"",IFERROR(_xlfn.SWITCH($L454,"M1",Aannames!$B$10,"M2",Aannames!$B$10+($O454-Aannames!$B$10)*Aannames!$B$12,"M3",Aannames!$B$10+($O454-Aannames!$B$10)*(Aannames!$B$12+Aannames!$B$13),"M4",$O454),0)+($O454-IFERROR(_xlfn.SWITCH($L454,"M1",Aannames!$B$10,"M2",Aannames!$B$10+($O454-Aannames!$B$10)*Aannames!$B$12,"M3",Aannames!$B$10+($O454-Aannames!$B$10)*(Aannames!$B$12+Aannames!$B$13),"M4",$O454),0))*$P454)</f>
        <v/>
      </c>
      <c r="U454" s="15"/>
    </row>
    <row r="455" customFormat="false" ht="15" hidden="false" customHeight="false" outlineLevel="0" collapsed="false">
      <c r="I455" s="15"/>
      <c r="N455" s="16"/>
      <c r="O455" s="17" t="str">
        <f aca="false">IF(OR($N455="",$N455=0),"",MAX(MIN($N455,Aannames!$B$5)*Aannames!$C$5+MAX(0,MIN($N455,Aannames!$B$6)-Aannames!$B$5)*Aannames!$C$6+MAX(0,MIN($N455,Aannames!$B$7)-Aannames!$B$6)*Aannames!$C$7+MAX(0,$N455-Aannames!$B$7)*Aannames!$C$8,Aannames!$B$9)+Aannames!$B$10)</f>
        <v/>
      </c>
      <c r="P455" s="18" t="str">
        <f aca="false">IF($L455="","",IFERROR(_xlfn.SWITCH($L455,"M1",Aannames!$B$16,"M2",Aannames!$B$17,"M3",Aannames!$B$18,"M4",Aannames!$B$19),""))</f>
        <v/>
      </c>
      <c r="Q455" s="17" t="str">
        <f aca="false">IF(OR($O455="",$P455=""),"",IFERROR(_xlfn.SWITCH($L455,"M1",Aannames!$B$10,"M2",Aannames!$B$10+($O455-Aannames!$B$10)*Aannames!$B$12,"M3",Aannames!$B$10+($O455-Aannames!$B$10)*(Aannames!$B$12+Aannames!$B$13),"M4",$O455),0)+($O455-IFERROR(_xlfn.SWITCH($L455,"M1",Aannames!$B$10,"M2",Aannames!$B$10+($O455-Aannames!$B$10)*Aannames!$B$12,"M3",Aannames!$B$10+($O455-Aannames!$B$10)*(Aannames!$B$12+Aannames!$B$13),"M4",$O455),0))*$P455)</f>
        <v/>
      </c>
      <c r="U455" s="15"/>
    </row>
    <row r="456" customFormat="false" ht="15" hidden="false" customHeight="false" outlineLevel="0" collapsed="false">
      <c r="I456" s="15"/>
      <c r="N456" s="16"/>
      <c r="O456" s="17" t="str">
        <f aca="false">IF(OR($N456="",$N456=0),"",MAX(MIN($N456,Aannames!$B$5)*Aannames!$C$5+MAX(0,MIN($N456,Aannames!$B$6)-Aannames!$B$5)*Aannames!$C$6+MAX(0,MIN($N456,Aannames!$B$7)-Aannames!$B$6)*Aannames!$C$7+MAX(0,$N456-Aannames!$B$7)*Aannames!$C$8,Aannames!$B$9)+Aannames!$B$10)</f>
        <v/>
      </c>
      <c r="P456" s="18" t="str">
        <f aca="false">IF($L456="","",IFERROR(_xlfn.SWITCH($L456,"M1",Aannames!$B$16,"M2",Aannames!$B$17,"M3",Aannames!$B$18,"M4",Aannames!$B$19),""))</f>
        <v/>
      </c>
      <c r="Q456" s="17" t="str">
        <f aca="false">IF(OR($O456="",$P456=""),"",IFERROR(_xlfn.SWITCH($L456,"M1",Aannames!$B$10,"M2",Aannames!$B$10+($O456-Aannames!$B$10)*Aannames!$B$12,"M3",Aannames!$B$10+($O456-Aannames!$B$10)*(Aannames!$B$12+Aannames!$B$13),"M4",$O456),0)+($O456-IFERROR(_xlfn.SWITCH($L456,"M1",Aannames!$B$10,"M2",Aannames!$B$10+($O456-Aannames!$B$10)*Aannames!$B$12,"M3",Aannames!$B$10+($O456-Aannames!$B$10)*(Aannames!$B$12+Aannames!$B$13),"M4",$O456),0))*$P456)</f>
        <v/>
      </c>
      <c r="U456" s="15"/>
    </row>
    <row r="457" customFormat="false" ht="15" hidden="false" customHeight="false" outlineLevel="0" collapsed="false">
      <c r="I457" s="15"/>
      <c r="N457" s="16"/>
      <c r="O457" s="17" t="str">
        <f aca="false">IF(OR($N457="",$N457=0),"",MAX(MIN($N457,Aannames!$B$5)*Aannames!$C$5+MAX(0,MIN($N457,Aannames!$B$6)-Aannames!$B$5)*Aannames!$C$6+MAX(0,MIN($N457,Aannames!$B$7)-Aannames!$B$6)*Aannames!$C$7+MAX(0,$N457-Aannames!$B$7)*Aannames!$C$8,Aannames!$B$9)+Aannames!$B$10)</f>
        <v/>
      </c>
      <c r="P457" s="18" t="str">
        <f aca="false">IF($L457="","",IFERROR(_xlfn.SWITCH($L457,"M1",Aannames!$B$16,"M2",Aannames!$B$17,"M3",Aannames!$B$18,"M4",Aannames!$B$19),""))</f>
        <v/>
      </c>
      <c r="Q457" s="17" t="str">
        <f aca="false">IF(OR($O457="",$P457=""),"",IFERROR(_xlfn.SWITCH($L457,"M1",Aannames!$B$10,"M2",Aannames!$B$10+($O457-Aannames!$B$10)*Aannames!$B$12,"M3",Aannames!$B$10+($O457-Aannames!$B$10)*(Aannames!$B$12+Aannames!$B$13),"M4",$O457),0)+($O457-IFERROR(_xlfn.SWITCH($L457,"M1",Aannames!$B$10,"M2",Aannames!$B$10+($O457-Aannames!$B$10)*Aannames!$B$12,"M3",Aannames!$B$10+($O457-Aannames!$B$10)*(Aannames!$B$12+Aannames!$B$13),"M4",$O457),0))*$P457)</f>
        <v/>
      </c>
      <c r="U457" s="15"/>
    </row>
    <row r="458" customFormat="false" ht="15" hidden="false" customHeight="false" outlineLevel="0" collapsed="false">
      <c r="I458" s="15"/>
      <c r="N458" s="16"/>
      <c r="O458" s="17" t="str">
        <f aca="false">IF(OR($N458="",$N458=0),"",MAX(MIN($N458,Aannames!$B$5)*Aannames!$C$5+MAX(0,MIN($N458,Aannames!$B$6)-Aannames!$B$5)*Aannames!$C$6+MAX(0,MIN($N458,Aannames!$B$7)-Aannames!$B$6)*Aannames!$C$7+MAX(0,$N458-Aannames!$B$7)*Aannames!$C$8,Aannames!$B$9)+Aannames!$B$10)</f>
        <v/>
      </c>
      <c r="P458" s="18" t="str">
        <f aca="false">IF($L458="","",IFERROR(_xlfn.SWITCH($L458,"M1",Aannames!$B$16,"M2",Aannames!$B$17,"M3",Aannames!$B$18,"M4",Aannames!$B$19),""))</f>
        <v/>
      </c>
      <c r="Q458" s="17" t="str">
        <f aca="false">IF(OR($O458="",$P458=""),"",IFERROR(_xlfn.SWITCH($L458,"M1",Aannames!$B$10,"M2",Aannames!$B$10+($O458-Aannames!$B$10)*Aannames!$B$12,"M3",Aannames!$B$10+($O458-Aannames!$B$10)*(Aannames!$B$12+Aannames!$B$13),"M4",$O458),0)+($O458-IFERROR(_xlfn.SWITCH($L458,"M1",Aannames!$B$10,"M2",Aannames!$B$10+($O458-Aannames!$B$10)*Aannames!$B$12,"M3",Aannames!$B$10+($O458-Aannames!$B$10)*(Aannames!$B$12+Aannames!$B$13),"M4",$O458),0))*$P458)</f>
        <v/>
      </c>
      <c r="U458" s="15"/>
    </row>
    <row r="459" customFormat="false" ht="15" hidden="false" customHeight="false" outlineLevel="0" collapsed="false">
      <c r="I459" s="15"/>
      <c r="N459" s="16"/>
      <c r="O459" s="17" t="str">
        <f aca="false">IF(OR($N459="",$N459=0),"",MAX(MIN($N459,Aannames!$B$5)*Aannames!$C$5+MAX(0,MIN($N459,Aannames!$B$6)-Aannames!$B$5)*Aannames!$C$6+MAX(0,MIN($N459,Aannames!$B$7)-Aannames!$B$6)*Aannames!$C$7+MAX(0,$N459-Aannames!$B$7)*Aannames!$C$8,Aannames!$B$9)+Aannames!$B$10)</f>
        <v/>
      </c>
      <c r="P459" s="18" t="str">
        <f aca="false">IF($L459="","",IFERROR(_xlfn.SWITCH($L459,"M1",Aannames!$B$16,"M2",Aannames!$B$17,"M3",Aannames!$B$18,"M4",Aannames!$B$19),""))</f>
        <v/>
      </c>
      <c r="Q459" s="17" t="str">
        <f aca="false">IF(OR($O459="",$P459=""),"",IFERROR(_xlfn.SWITCH($L459,"M1",Aannames!$B$10,"M2",Aannames!$B$10+($O459-Aannames!$B$10)*Aannames!$B$12,"M3",Aannames!$B$10+($O459-Aannames!$B$10)*(Aannames!$B$12+Aannames!$B$13),"M4",$O459),0)+($O459-IFERROR(_xlfn.SWITCH($L459,"M1",Aannames!$B$10,"M2",Aannames!$B$10+($O459-Aannames!$B$10)*Aannames!$B$12,"M3",Aannames!$B$10+($O459-Aannames!$B$10)*(Aannames!$B$12+Aannames!$B$13),"M4",$O459),0))*$P459)</f>
        <v/>
      </c>
      <c r="U459" s="15"/>
    </row>
    <row r="460" customFormat="false" ht="15" hidden="false" customHeight="false" outlineLevel="0" collapsed="false">
      <c r="I460" s="15"/>
      <c r="N460" s="16"/>
      <c r="O460" s="17" t="str">
        <f aca="false">IF(OR($N460="",$N460=0),"",MAX(MIN($N460,Aannames!$B$5)*Aannames!$C$5+MAX(0,MIN($N460,Aannames!$B$6)-Aannames!$B$5)*Aannames!$C$6+MAX(0,MIN($N460,Aannames!$B$7)-Aannames!$B$6)*Aannames!$C$7+MAX(0,$N460-Aannames!$B$7)*Aannames!$C$8,Aannames!$B$9)+Aannames!$B$10)</f>
        <v/>
      </c>
      <c r="P460" s="18" t="str">
        <f aca="false">IF($L460="","",IFERROR(_xlfn.SWITCH($L460,"M1",Aannames!$B$16,"M2",Aannames!$B$17,"M3",Aannames!$B$18,"M4",Aannames!$B$19),""))</f>
        <v/>
      </c>
      <c r="Q460" s="17" t="str">
        <f aca="false">IF(OR($O460="",$P460=""),"",IFERROR(_xlfn.SWITCH($L460,"M1",Aannames!$B$10,"M2",Aannames!$B$10+($O460-Aannames!$B$10)*Aannames!$B$12,"M3",Aannames!$B$10+($O460-Aannames!$B$10)*(Aannames!$B$12+Aannames!$B$13),"M4",$O460),0)+($O460-IFERROR(_xlfn.SWITCH($L460,"M1",Aannames!$B$10,"M2",Aannames!$B$10+($O460-Aannames!$B$10)*Aannames!$B$12,"M3",Aannames!$B$10+($O460-Aannames!$B$10)*(Aannames!$B$12+Aannames!$B$13),"M4",$O460),0))*$P460)</f>
        <v/>
      </c>
      <c r="U460" s="15"/>
    </row>
    <row r="461" customFormat="false" ht="15" hidden="false" customHeight="false" outlineLevel="0" collapsed="false">
      <c r="I461" s="15"/>
      <c r="N461" s="16"/>
      <c r="O461" s="17" t="str">
        <f aca="false">IF(OR($N461="",$N461=0),"",MAX(MIN($N461,Aannames!$B$5)*Aannames!$C$5+MAX(0,MIN($N461,Aannames!$B$6)-Aannames!$B$5)*Aannames!$C$6+MAX(0,MIN($N461,Aannames!$B$7)-Aannames!$B$6)*Aannames!$C$7+MAX(0,$N461-Aannames!$B$7)*Aannames!$C$8,Aannames!$B$9)+Aannames!$B$10)</f>
        <v/>
      </c>
      <c r="P461" s="18" t="str">
        <f aca="false">IF($L461="","",IFERROR(_xlfn.SWITCH($L461,"M1",Aannames!$B$16,"M2",Aannames!$B$17,"M3",Aannames!$B$18,"M4",Aannames!$B$19),""))</f>
        <v/>
      </c>
      <c r="Q461" s="17" t="str">
        <f aca="false">IF(OR($O461="",$P461=""),"",IFERROR(_xlfn.SWITCH($L461,"M1",Aannames!$B$10,"M2",Aannames!$B$10+($O461-Aannames!$B$10)*Aannames!$B$12,"M3",Aannames!$B$10+($O461-Aannames!$B$10)*(Aannames!$B$12+Aannames!$B$13),"M4",$O461),0)+($O461-IFERROR(_xlfn.SWITCH($L461,"M1",Aannames!$B$10,"M2",Aannames!$B$10+($O461-Aannames!$B$10)*Aannames!$B$12,"M3",Aannames!$B$10+($O461-Aannames!$B$10)*(Aannames!$B$12+Aannames!$B$13),"M4",$O461),0))*$P461)</f>
        <v/>
      </c>
      <c r="U461" s="15"/>
    </row>
    <row r="462" customFormat="false" ht="15" hidden="false" customHeight="false" outlineLevel="0" collapsed="false">
      <c r="I462" s="15"/>
      <c r="N462" s="16"/>
      <c r="O462" s="17" t="str">
        <f aca="false">IF(OR($N462="",$N462=0),"",MAX(MIN($N462,Aannames!$B$5)*Aannames!$C$5+MAX(0,MIN($N462,Aannames!$B$6)-Aannames!$B$5)*Aannames!$C$6+MAX(0,MIN($N462,Aannames!$B$7)-Aannames!$B$6)*Aannames!$C$7+MAX(0,$N462-Aannames!$B$7)*Aannames!$C$8,Aannames!$B$9)+Aannames!$B$10)</f>
        <v/>
      </c>
      <c r="P462" s="18" t="str">
        <f aca="false">IF($L462="","",IFERROR(_xlfn.SWITCH($L462,"M1",Aannames!$B$16,"M2",Aannames!$B$17,"M3",Aannames!$B$18,"M4",Aannames!$B$19),""))</f>
        <v/>
      </c>
      <c r="Q462" s="17" t="str">
        <f aca="false">IF(OR($O462="",$P462=""),"",IFERROR(_xlfn.SWITCH($L462,"M1",Aannames!$B$10,"M2",Aannames!$B$10+($O462-Aannames!$B$10)*Aannames!$B$12,"M3",Aannames!$B$10+($O462-Aannames!$B$10)*(Aannames!$B$12+Aannames!$B$13),"M4",$O462),0)+($O462-IFERROR(_xlfn.SWITCH($L462,"M1",Aannames!$B$10,"M2",Aannames!$B$10+($O462-Aannames!$B$10)*Aannames!$B$12,"M3",Aannames!$B$10+($O462-Aannames!$B$10)*(Aannames!$B$12+Aannames!$B$13),"M4",$O462),0))*$P462)</f>
        <v/>
      </c>
      <c r="U462" s="15"/>
    </row>
    <row r="463" customFormat="false" ht="15" hidden="false" customHeight="false" outlineLevel="0" collapsed="false">
      <c r="I463" s="15"/>
      <c r="N463" s="16"/>
      <c r="O463" s="17" t="str">
        <f aca="false">IF(OR($N463="",$N463=0),"",MAX(MIN($N463,Aannames!$B$5)*Aannames!$C$5+MAX(0,MIN($N463,Aannames!$B$6)-Aannames!$B$5)*Aannames!$C$6+MAX(0,MIN($N463,Aannames!$B$7)-Aannames!$B$6)*Aannames!$C$7+MAX(0,$N463-Aannames!$B$7)*Aannames!$C$8,Aannames!$B$9)+Aannames!$B$10)</f>
        <v/>
      </c>
      <c r="P463" s="18" t="str">
        <f aca="false">IF($L463="","",IFERROR(_xlfn.SWITCH($L463,"M1",Aannames!$B$16,"M2",Aannames!$B$17,"M3",Aannames!$B$18,"M4",Aannames!$B$19),""))</f>
        <v/>
      </c>
      <c r="Q463" s="17" t="str">
        <f aca="false">IF(OR($O463="",$P463=""),"",IFERROR(_xlfn.SWITCH($L463,"M1",Aannames!$B$10,"M2",Aannames!$B$10+($O463-Aannames!$B$10)*Aannames!$B$12,"M3",Aannames!$B$10+($O463-Aannames!$B$10)*(Aannames!$B$12+Aannames!$B$13),"M4",$O463),0)+($O463-IFERROR(_xlfn.SWITCH($L463,"M1",Aannames!$B$10,"M2",Aannames!$B$10+($O463-Aannames!$B$10)*Aannames!$B$12,"M3",Aannames!$B$10+($O463-Aannames!$B$10)*(Aannames!$B$12+Aannames!$B$13),"M4",$O463),0))*$P463)</f>
        <v/>
      </c>
      <c r="U463" s="15"/>
    </row>
    <row r="464" customFormat="false" ht="15" hidden="false" customHeight="false" outlineLevel="0" collapsed="false">
      <c r="I464" s="15"/>
      <c r="N464" s="16"/>
      <c r="O464" s="17" t="str">
        <f aca="false">IF(OR($N464="",$N464=0),"",MAX(MIN($N464,Aannames!$B$5)*Aannames!$C$5+MAX(0,MIN($N464,Aannames!$B$6)-Aannames!$B$5)*Aannames!$C$6+MAX(0,MIN($N464,Aannames!$B$7)-Aannames!$B$6)*Aannames!$C$7+MAX(0,$N464-Aannames!$B$7)*Aannames!$C$8,Aannames!$B$9)+Aannames!$B$10)</f>
        <v/>
      </c>
      <c r="P464" s="18" t="str">
        <f aca="false">IF($L464="","",IFERROR(_xlfn.SWITCH($L464,"M1",Aannames!$B$16,"M2",Aannames!$B$17,"M3",Aannames!$B$18,"M4",Aannames!$B$19),""))</f>
        <v/>
      </c>
      <c r="Q464" s="17" t="str">
        <f aca="false">IF(OR($O464="",$P464=""),"",IFERROR(_xlfn.SWITCH($L464,"M1",Aannames!$B$10,"M2",Aannames!$B$10+($O464-Aannames!$B$10)*Aannames!$B$12,"M3",Aannames!$B$10+($O464-Aannames!$B$10)*(Aannames!$B$12+Aannames!$B$13),"M4",$O464),0)+($O464-IFERROR(_xlfn.SWITCH($L464,"M1",Aannames!$B$10,"M2",Aannames!$B$10+($O464-Aannames!$B$10)*Aannames!$B$12,"M3",Aannames!$B$10+($O464-Aannames!$B$10)*(Aannames!$B$12+Aannames!$B$13),"M4",$O464),0))*$P464)</f>
        <v/>
      </c>
      <c r="U464" s="15"/>
    </row>
    <row r="465" customFormat="false" ht="15" hidden="false" customHeight="false" outlineLevel="0" collapsed="false">
      <c r="I465" s="15"/>
      <c r="N465" s="16"/>
      <c r="O465" s="17" t="str">
        <f aca="false">IF(OR($N465="",$N465=0),"",MAX(MIN($N465,Aannames!$B$5)*Aannames!$C$5+MAX(0,MIN($N465,Aannames!$B$6)-Aannames!$B$5)*Aannames!$C$6+MAX(0,MIN($N465,Aannames!$B$7)-Aannames!$B$6)*Aannames!$C$7+MAX(0,$N465-Aannames!$B$7)*Aannames!$C$8,Aannames!$B$9)+Aannames!$B$10)</f>
        <v/>
      </c>
      <c r="P465" s="18" t="str">
        <f aca="false">IF($L465="","",IFERROR(_xlfn.SWITCH($L465,"M1",Aannames!$B$16,"M2",Aannames!$B$17,"M3",Aannames!$B$18,"M4",Aannames!$B$19),""))</f>
        <v/>
      </c>
      <c r="Q465" s="17" t="str">
        <f aca="false">IF(OR($O465="",$P465=""),"",IFERROR(_xlfn.SWITCH($L465,"M1",Aannames!$B$10,"M2",Aannames!$B$10+($O465-Aannames!$B$10)*Aannames!$B$12,"M3",Aannames!$B$10+($O465-Aannames!$B$10)*(Aannames!$B$12+Aannames!$B$13),"M4",$O465),0)+($O465-IFERROR(_xlfn.SWITCH($L465,"M1",Aannames!$B$10,"M2",Aannames!$B$10+($O465-Aannames!$B$10)*Aannames!$B$12,"M3",Aannames!$B$10+($O465-Aannames!$B$10)*(Aannames!$B$12+Aannames!$B$13),"M4",$O465),0))*$P465)</f>
        <v/>
      </c>
      <c r="U465" s="15"/>
    </row>
    <row r="466" customFormat="false" ht="15" hidden="false" customHeight="false" outlineLevel="0" collapsed="false">
      <c r="I466" s="15"/>
      <c r="N466" s="16"/>
      <c r="O466" s="17" t="str">
        <f aca="false">IF(OR($N466="",$N466=0),"",MAX(MIN($N466,Aannames!$B$5)*Aannames!$C$5+MAX(0,MIN($N466,Aannames!$B$6)-Aannames!$B$5)*Aannames!$C$6+MAX(0,MIN($N466,Aannames!$B$7)-Aannames!$B$6)*Aannames!$C$7+MAX(0,$N466-Aannames!$B$7)*Aannames!$C$8,Aannames!$B$9)+Aannames!$B$10)</f>
        <v/>
      </c>
      <c r="P466" s="18" t="str">
        <f aca="false">IF($L466="","",IFERROR(_xlfn.SWITCH($L466,"M1",Aannames!$B$16,"M2",Aannames!$B$17,"M3",Aannames!$B$18,"M4",Aannames!$B$19),""))</f>
        <v/>
      </c>
      <c r="Q466" s="17" t="str">
        <f aca="false">IF(OR($O466="",$P466=""),"",IFERROR(_xlfn.SWITCH($L466,"M1",Aannames!$B$10,"M2",Aannames!$B$10+($O466-Aannames!$B$10)*Aannames!$B$12,"M3",Aannames!$B$10+($O466-Aannames!$B$10)*(Aannames!$B$12+Aannames!$B$13),"M4",$O466),0)+($O466-IFERROR(_xlfn.SWITCH($L466,"M1",Aannames!$B$10,"M2",Aannames!$B$10+($O466-Aannames!$B$10)*Aannames!$B$12,"M3",Aannames!$B$10+($O466-Aannames!$B$10)*(Aannames!$B$12+Aannames!$B$13),"M4",$O466),0))*$P466)</f>
        <v/>
      </c>
      <c r="U466" s="15"/>
    </row>
    <row r="467" customFormat="false" ht="15" hidden="false" customHeight="false" outlineLevel="0" collapsed="false">
      <c r="I467" s="15"/>
      <c r="N467" s="16"/>
      <c r="O467" s="17" t="str">
        <f aca="false">IF(OR($N467="",$N467=0),"",MAX(MIN($N467,Aannames!$B$5)*Aannames!$C$5+MAX(0,MIN($N467,Aannames!$B$6)-Aannames!$B$5)*Aannames!$C$6+MAX(0,MIN($N467,Aannames!$B$7)-Aannames!$B$6)*Aannames!$C$7+MAX(0,$N467-Aannames!$B$7)*Aannames!$C$8,Aannames!$B$9)+Aannames!$B$10)</f>
        <v/>
      </c>
      <c r="P467" s="18" t="str">
        <f aca="false">IF($L467="","",IFERROR(_xlfn.SWITCH($L467,"M1",Aannames!$B$16,"M2",Aannames!$B$17,"M3",Aannames!$B$18,"M4",Aannames!$B$19),""))</f>
        <v/>
      </c>
      <c r="Q467" s="17" t="str">
        <f aca="false">IF(OR($O467="",$P467=""),"",IFERROR(_xlfn.SWITCH($L467,"M1",Aannames!$B$10,"M2",Aannames!$B$10+($O467-Aannames!$B$10)*Aannames!$B$12,"M3",Aannames!$B$10+($O467-Aannames!$B$10)*(Aannames!$B$12+Aannames!$B$13),"M4",$O467),0)+($O467-IFERROR(_xlfn.SWITCH($L467,"M1",Aannames!$B$10,"M2",Aannames!$B$10+($O467-Aannames!$B$10)*Aannames!$B$12,"M3",Aannames!$B$10+($O467-Aannames!$B$10)*(Aannames!$B$12+Aannames!$B$13),"M4",$O467),0))*$P467)</f>
        <v/>
      </c>
      <c r="U467" s="15"/>
    </row>
    <row r="468" customFormat="false" ht="15" hidden="false" customHeight="false" outlineLevel="0" collapsed="false">
      <c r="I468" s="15"/>
      <c r="N468" s="16"/>
      <c r="O468" s="17" t="str">
        <f aca="false">IF(OR($N468="",$N468=0),"",MAX(MIN($N468,Aannames!$B$5)*Aannames!$C$5+MAX(0,MIN($N468,Aannames!$B$6)-Aannames!$B$5)*Aannames!$C$6+MAX(0,MIN($N468,Aannames!$B$7)-Aannames!$B$6)*Aannames!$C$7+MAX(0,$N468-Aannames!$B$7)*Aannames!$C$8,Aannames!$B$9)+Aannames!$B$10)</f>
        <v/>
      </c>
      <c r="P468" s="18" t="str">
        <f aca="false">IF($L468="","",IFERROR(_xlfn.SWITCH($L468,"M1",Aannames!$B$16,"M2",Aannames!$B$17,"M3",Aannames!$B$18,"M4",Aannames!$B$19),""))</f>
        <v/>
      </c>
      <c r="Q468" s="17" t="str">
        <f aca="false">IF(OR($O468="",$P468=""),"",IFERROR(_xlfn.SWITCH($L468,"M1",Aannames!$B$10,"M2",Aannames!$B$10+($O468-Aannames!$B$10)*Aannames!$B$12,"M3",Aannames!$B$10+($O468-Aannames!$B$10)*(Aannames!$B$12+Aannames!$B$13),"M4",$O468),0)+($O468-IFERROR(_xlfn.SWITCH($L468,"M1",Aannames!$B$10,"M2",Aannames!$B$10+($O468-Aannames!$B$10)*Aannames!$B$12,"M3",Aannames!$B$10+($O468-Aannames!$B$10)*(Aannames!$B$12+Aannames!$B$13),"M4",$O468),0))*$P468)</f>
        <v/>
      </c>
      <c r="U468" s="15"/>
    </row>
    <row r="469" customFormat="false" ht="15" hidden="false" customHeight="false" outlineLevel="0" collapsed="false">
      <c r="I469" s="15"/>
      <c r="N469" s="16"/>
      <c r="O469" s="17" t="str">
        <f aca="false">IF(OR($N469="",$N469=0),"",MAX(MIN($N469,Aannames!$B$5)*Aannames!$C$5+MAX(0,MIN($N469,Aannames!$B$6)-Aannames!$B$5)*Aannames!$C$6+MAX(0,MIN($N469,Aannames!$B$7)-Aannames!$B$6)*Aannames!$C$7+MAX(0,$N469-Aannames!$B$7)*Aannames!$C$8,Aannames!$B$9)+Aannames!$B$10)</f>
        <v/>
      </c>
      <c r="P469" s="18" t="str">
        <f aca="false">IF($L469="","",IFERROR(_xlfn.SWITCH($L469,"M1",Aannames!$B$16,"M2",Aannames!$B$17,"M3",Aannames!$B$18,"M4",Aannames!$B$19),""))</f>
        <v/>
      </c>
      <c r="Q469" s="17" t="str">
        <f aca="false">IF(OR($O469="",$P469=""),"",IFERROR(_xlfn.SWITCH($L469,"M1",Aannames!$B$10,"M2",Aannames!$B$10+($O469-Aannames!$B$10)*Aannames!$B$12,"M3",Aannames!$B$10+($O469-Aannames!$B$10)*(Aannames!$B$12+Aannames!$B$13),"M4",$O469),0)+($O469-IFERROR(_xlfn.SWITCH($L469,"M1",Aannames!$B$10,"M2",Aannames!$B$10+($O469-Aannames!$B$10)*Aannames!$B$12,"M3",Aannames!$B$10+($O469-Aannames!$B$10)*(Aannames!$B$12+Aannames!$B$13),"M4",$O469),0))*$P469)</f>
        <v/>
      </c>
      <c r="U469" s="15"/>
    </row>
    <row r="470" customFormat="false" ht="15" hidden="false" customHeight="false" outlineLevel="0" collapsed="false">
      <c r="I470" s="15"/>
      <c r="N470" s="16"/>
      <c r="O470" s="17" t="str">
        <f aca="false">IF(OR($N470="",$N470=0),"",MAX(MIN($N470,Aannames!$B$5)*Aannames!$C$5+MAX(0,MIN($N470,Aannames!$B$6)-Aannames!$B$5)*Aannames!$C$6+MAX(0,MIN($N470,Aannames!$B$7)-Aannames!$B$6)*Aannames!$C$7+MAX(0,$N470-Aannames!$B$7)*Aannames!$C$8,Aannames!$B$9)+Aannames!$B$10)</f>
        <v/>
      </c>
      <c r="P470" s="18" t="str">
        <f aca="false">IF($L470="","",IFERROR(_xlfn.SWITCH($L470,"M1",Aannames!$B$16,"M2",Aannames!$B$17,"M3",Aannames!$B$18,"M4",Aannames!$B$19),""))</f>
        <v/>
      </c>
      <c r="Q470" s="17" t="str">
        <f aca="false">IF(OR($O470="",$P470=""),"",IFERROR(_xlfn.SWITCH($L470,"M1",Aannames!$B$10,"M2",Aannames!$B$10+($O470-Aannames!$B$10)*Aannames!$B$12,"M3",Aannames!$B$10+($O470-Aannames!$B$10)*(Aannames!$B$12+Aannames!$B$13),"M4",$O470),0)+($O470-IFERROR(_xlfn.SWITCH($L470,"M1",Aannames!$B$10,"M2",Aannames!$B$10+($O470-Aannames!$B$10)*Aannames!$B$12,"M3",Aannames!$B$10+($O470-Aannames!$B$10)*(Aannames!$B$12+Aannames!$B$13),"M4",$O470),0))*$P470)</f>
        <v/>
      </c>
      <c r="U470" s="15"/>
    </row>
    <row r="471" customFormat="false" ht="15" hidden="false" customHeight="false" outlineLevel="0" collapsed="false">
      <c r="I471" s="15"/>
      <c r="N471" s="16"/>
      <c r="O471" s="17" t="str">
        <f aca="false">IF(OR($N471="",$N471=0),"",MAX(MIN($N471,Aannames!$B$5)*Aannames!$C$5+MAX(0,MIN($N471,Aannames!$B$6)-Aannames!$B$5)*Aannames!$C$6+MAX(0,MIN($N471,Aannames!$B$7)-Aannames!$B$6)*Aannames!$C$7+MAX(0,$N471-Aannames!$B$7)*Aannames!$C$8,Aannames!$B$9)+Aannames!$B$10)</f>
        <v/>
      </c>
      <c r="P471" s="18" t="str">
        <f aca="false">IF($L471="","",IFERROR(_xlfn.SWITCH($L471,"M1",Aannames!$B$16,"M2",Aannames!$B$17,"M3",Aannames!$B$18,"M4",Aannames!$B$19),""))</f>
        <v/>
      </c>
      <c r="Q471" s="17" t="str">
        <f aca="false">IF(OR($O471="",$P471=""),"",IFERROR(_xlfn.SWITCH($L471,"M1",Aannames!$B$10,"M2",Aannames!$B$10+($O471-Aannames!$B$10)*Aannames!$B$12,"M3",Aannames!$B$10+($O471-Aannames!$B$10)*(Aannames!$B$12+Aannames!$B$13),"M4",$O471),0)+($O471-IFERROR(_xlfn.SWITCH($L471,"M1",Aannames!$B$10,"M2",Aannames!$B$10+($O471-Aannames!$B$10)*Aannames!$B$12,"M3",Aannames!$B$10+($O471-Aannames!$B$10)*(Aannames!$B$12+Aannames!$B$13),"M4",$O471),0))*$P471)</f>
        <v/>
      </c>
      <c r="U471" s="15"/>
    </row>
    <row r="472" customFormat="false" ht="15" hidden="false" customHeight="false" outlineLevel="0" collapsed="false">
      <c r="I472" s="15"/>
      <c r="N472" s="16"/>
      <c r="O472" s="17" t="str">
        <f aca="false">IF(OR($N472="",$N472=0),"",MAX(MIN($N472,Aannames!$B$5)*Aannames!$C$5+MAX(0,MIN($N472,Aannames!$B$6)-Aannames!$B$5)*Aannames!$C$6+MAX(0,MIN($N472,Aannames!$B$7)-Aannames!$B$6)*Aannames!$C$7+MAX(0,$N472-Aannames!$B$7)*Aannames!$C$8,Aannames!$B$9)+Aannames!$B$10)</f>
        <v/>
      </c>
      <c r="P472" s="18" t="str">
        <f aca="false">IF($L472="","",IFERROR(_xlfn.SWITCH($L472,"M1",Aannames!$B$16,"M2",Aannames!$B$17,"M3",Aannames!$B$18,"M4",Aannames!$B$19),""))</f>
        <v/>
      </c>
      <c r="Q472" s="17" t="str">
        <f aca="false">IF(OR($O472="",$P472=""),"",IFERROR(_xlfn.SWITCH($L472,"M1",Aannames!$B$10,"M2",Aannames!$B$10+($O472-Aannames!$B$10)*Aannames!$B$12,"M3",Aannames!$B$10+($O472-Aannames!$B$10)*(Aannames!$B$12+Aannames!$B$13),"M4",$O472),0)+($O472-IFERROR(_xlfn.SWITCH($L472,"M1",Aannames!$B$10,"M2",Aannames!$B$10+($O472-Aannames!$B$10)*Aannames!$B$12,"M3",Aannames!$B$10+($O472-Aannames!$B$10)*(Aannames!$B$12+Aannames!$B$13),"M4",$O472),0))*$P472)</f>
        <v/>
      </c>
      <c r="U472" s="15"/>
    </row>
    <row r="473" customFormat="false" ht="15" hidden="false" customHeight="false" outlineLevel="0" collapsed="false">
      <c r="I473" s="15"/>
      <c r="N473" s="16"/>
      <c r="O473" s="17" t="str">
        <f aca="false">IF(OR($N473="",$N473=0),"",MAX(MIN($N473,Aannames!$B$5)*Aannames!$C$5+MAX(0,MIN($N473,Aannames!$B$6)-Aannames!$B$5)*Aannames!$C$6+MAX(0,MIN($N473,Aannames!$B$7)-Aannames!$B$6)*Aannames!$C$7+MAX(0,$N473-Aannames!$B$7)*Aannames!$C$8,Aannames!$B$9)+Aannames!$B$10)</f>
        <v/>
      </c>
      <c r="P473" s="18" t="str">
        <f aca="false">IF($L473="","",IFERROR(_xlfn.SWITCH($L473,"M1",Aannames!$B$16,"M2",Aannames!$B$17,"M3",Aannames!$B$18,"M4",Aannames!$B$19),""))</f>
        <v/>
      </c>
      <c r="Q473" s="17" t="str">
        <f aca="false">IF(OR($O473="",$P473=""),"",IFERROR(_xlfn.SWITCH($L473,"M1",Aannames!$B$10,"M2",Aannames!$B$10+($O473-Aannames!$B$10)*Aannames!$B$12,"M3",Aannames!$B$10+($O473-Aannames!$B$10)*(Aannames!$B$12+Aannames!$B$13),"M4",$O473),0)+($O473-IFERROR(_xlfn.SWITCH($L473,"M1",Aannames!$B$10,"M2",Aannames!$B$10+($O473-Aannames!$B$10)*Aannames!$B$12,"M3",Aannames!$B$10+($O473-Aannames!$B$10)*(Aannames!$B$12+Aannames!$B$13),"M4",$O473),0))*$P473)</f>
        <v/>
      </c>
      <c r="U473" s="15"/>
    </row>
    <row r="474" customFormat="false" ht="15" hidden="false" customHeight="false" outlineLevel="0" collapsed="false">
      <c r="I474" s="15"/>
      <c r="N474" s="16"/>
      <c r="O474" s="17" t="str">
        <f aca="false">IF(OR($N474="",$N474=0),"",MAX(MIN($N474,Aannames!$B$5)*Aannames!$C$5+MAX(0,MIN($N474,Aannames!$B$6)-Aannames!$B$5)*Aannames!$C$6+MAX(0,MIN($N474,Aannames!$B$7)-Aannames!$B$6)*Aannames!$C$7+MAX(0,$N474-Aannames!$B$7)*Aannames!$C$8,Aannames!$B$9)+Aannames!$B$10)</f>
        <v/>
      </c>
      <c r="P474" s="18" t="str">
        <f aca="false">IF($L474="","",IFERROR(_xlfn.SWITCH($L474,"M1",Aannames!$B$16,"M2",Aannames!$B$17,"M3",Aannames!$B$18,"M4",Aannames!$B$19),""))</f>
        <v/>
      </c>
      <c r="Q474" s="17" t="str">
        <f aca="false">IF(OR($O474="",$P474=""),"",IFERROR(_xlfn.SWITCH($L474,"M1",Aannames!$B$10,"M2",Aannames!$B$10+($O474-Aannames!$B$10)*Aannames!$B$12,"M3",Aannames!$B$10+($O474-Aannames!$B$10)*(Aannames!$B$12+Aannames!$B$13),"M4",$O474),0)+($O474-IFERROR(_xlfn.SWITCH($L474,"M1",Aannames!$B$10,"M2",Aannames!$B$10+($O474-Aannames!$B$10)*Aannames!$B$12,"M3",Aannames!$B$10+($O474-Aannames!$B$10)*(Aannames!$B$12+Aannames!$B$13),"M4",$O474),0))*$P474)</f>
        <v/>
      </c>
      <c r="U474" s="15"/>
    </row>
    <row r="475" customFormat="false" ht="15" hidden="false" customHeight="false" outlineLevel="0" collapsed="false">
      <c r="I475" s="15"/>
      <c r="N475" s="16"/>
      <c r="O475" s="17" t="str">
        <f aca="false">IF(OR($N475="",$N475=0),"",MAX(MIN($N475,Aannames!$B$5)*Aannames!$C$5+MAX(0,MIN($N475,Aannames!$B$6)-Aannames!$B$5)*Aannames!$C$6+MAX(0,MIN($N475,Aannames!$B$7)-Aannames!$B$6)*Aannames!$C$7+MAX(0,$N475-Aannames!$B$7)*Aannames!$C$8,Aannames!$B$9)+Aannames!$B$10)</f>
        <v/>
      </c>
      <c r="P475" s="18" t="str">
        <f aca="false">IF($L475="","",IFERROR(_xlfn.SWITCH($L475,"M1",Aannames!$B$16,"M2",Aannames!$B$17,"M3",Aannames!$B$18,"M4",Aannames!$B$19),""))</f>
        <v/>
      </c>
      <c r="Q475" s="17" t="str">
        <f aca="false">IF(OR($O475="",$P475=""),"",IFERROR(_xlfn.SWITCH($L475,"M1",Aannames!$B$10,"M2",Aannames!$B$10+($O475-Aannames!$B$10)*Aannames!$B$12,"M3",Aannames!$B$10+($O475-Aannames!$B$10)*(Aannames!$B$12+Aannames!$B$13),"M4",$O475),0)+($O475-IFERROR(_xlfn.SWITCH($L475,"M1",Aannames!$B$10,"M2",Aannames!$B$10+($O475-Aannames!$B$10)*Aannames!$B$12,"M3",Aannames!$B$10+($O475-Aannames!$B$10)*(Aannames!$B$12+Aannames!$B$13),"M4",$O475),0))*$P475)</f>
        <v/>
      </c>
      <c r="U475" s="15"/>
    </row>
    <row r="476" customFormat="false" ht="15" hidden="false" customHeight="false" outlineLevel="0" collapsed="false">
      <c r="I476" s="15"/>
      <c r="N476" s="16"/>
      <c r="O476" s="17" t="str">
        <f aca="false">IF(OR($N476="",$N476=0),"",MAX(MIN($N476,Aannames!$B$5)*Aannames!$C$5+MAX(0,MIN($N476,Aannames!$B$6)-Aannames!$B$5)*Aannames!$C$6+MAX(0,MIN($N476,Aannames!$B$7)-Aannames!$B$6)*Aannames!$C$7+MAX(0,$N476-Aannames!$B$7)*Aannames!$C$8,Aannames!$B$9)+Aannames!$B$10)</f>
        <v/>
      </c>
      <c r="P476" s="18" t="str">
        <f aca="false">IF($L476="","",IFERROR(_xlfn.SWITCH($L476,"M1",Aannames!$B$16,"M2",Aannames!$B$17,"M3",Aannames!$B$18,"M4",Aannames!$B$19),""))</f>
        <v/>
      </c>
      <c r="Q476" s="17" t="str">
        <f aca="false">IF(OR($O476="",$P476=""),"",IFERROR(_xlfn.SWITCH($L476,"M1",Aannames!$B$10,"M2",Aannames!$B$10+($O476-Aannames!$B$10)*Aannames!$B$12,"M3",Aannames!$B$10+($O476-Aannames!$B$10)*(Aannames!$B$12+Aannames!$B$13),"M4",$O476),0)+($O476-IFERROR(_xlfn.SWITCH($L476,"M1",Aannames!$B$10,"M2",Aannames!$B$10+($O476-Aannames!$B$10)*Aannames!$B$12,"M3",Aannames!$B$10+($O476-Aannames!$B$10)*(Aannames!$B$12+Aannames!$B$13),"M4",$O476),0))*$P476)</f>
        <v/>
      </c>
      <c r="U476" s="15"/>
    </row>
    <row r="477" customFormat="false" ht="15" hidden="false" customHeight="false" outlineLevel="0" collapsed="false">
      <c r="I477" s="15"/>
      <c r="N477" s="16"/>
      <c r="O477" s="17" t="str">
        <f aca="false">IF(OR($N477="",$N477=0),"",MAX(MIN($N477,Aannames!$B$5)*Aannames!$C$5+MAX(0,MIN($N477,Aannames!$B$6)-Aannames!$B$5)*Aannames!$C$6+MAX(0,MIN($N477,Aannames!$B$7)-Aannames!$B$6)*Aannames!$C$7+MAX(0,$N477-Aannames!$B$7)*Aannames!$C$8,Aannames!$B$9)+Aannames!$B$10)</f>
        <v/>
      </c>
      <c r="P477" s="18" t="str">
        <f aca="false">IF($L477="","",IFERROR(_xlfn.SWITCH($L477,"M1",Aannames!$B$16,"M2",Aannames!$B$17,"M3",Aannames!$B$18,"M4",Aannames!$B$19),""))</f>
        <v/>
      </c>
      <c r="Q477" s="17" t="str">
        <f aca="false">IF(OR($O477="",$P477=""),"",IFERROR(_xlfn.SWITCH($L477,"M1",Aannames!$B$10,"M2",Aannames!$B$10+($O477-Aannames!$B$10)*Aannames!$B$12,"M3",Aannames!$B$10+($O477-Aannames!$B$10)*(Aannames!$B$12+Aannames!$B$13),"M4",$O477),0)+($O477-IFERROR(_xlfn.SWITCH($L477,"M1",Aannames!$B$10,"M2",Aannames!$B$10+($O477-Aannames!$B$10)*Aannames!$B$12,"M3",Aannames!$B$10+($O477-Aannames!$B$10)*(Aannames!$B$12+Aannames!$B$13),"M4",$O477),0))*$P477)</f>
        <v/>
      </c>
      <c r="U477" s="15"/>
    </row>
    <row r="478" customFormat="false" ht="15" hidden="false" customHeight="false" outlineLevel="0" collapsed="false">
      <c r="I478" s="15"/>
      <c r="N478" s="16"/>
      <c r="O478" s="17" t="str">
        <f aca="false">IF(OR($N478="",$N478=0),"",MAX(MIN($N478,Aannames!$B$5)*Aannames!$C$5+MAX(0,MIN($N478,Aannames!$B$6)-Aannames!$B$5)*Aannames!$C$6+MAX(0,MIN($N478,Aannames!$B$7)-Aannames!$B$6)*Aannames!$C$7+MAX(0,$N478-Aannames!$B$7)*Aannames!$C$8,Aannames!$B$9)+Aannames!$B$10)</f>
        <v/>
      </c>
      <c r="P478" s="18" t="str">
        <f aca="false">IF($L478="","",IFERROR(_xlfn.SWITCH($L478,"M1",Aannames!$B$16,"M2",Aannames!$B$17,"M3",Aannames!$B$18,"M4",Aannames!$B$19),""))</f>
        <v/>
      </c>
      <c r="Q478" s="17" t="str">
        <f aca="false">IF(OR($O478="",$P478=""),"",IFERROR(_xlfn.SWITCH($L478,"M1",Aannames!$B$10,"M2",Aannames!$B$10+($O478-Aannames!$B$10)*Aannames!$B$12,"M3",Aannames!$B$10+($O478-Aannames!$B$10)*(Aannames!$B$12+Aannames!$B$13),"M4",$O478),0)+($O478-IFERROR(_xlfn.SWITCH($L478,"M1",Aannames!$B$10,"M2",Aannames!$B$10+($O478-Aannames!$B$10)*Aannames!$B$12,"M3",Aannames!$B$10+($O478-Aannames!$B$10)*(Aannames!$B$12+Aannames!$B$13),"M4",$O478),0))*$P478)</f>
        <v/>
      </c>
      <c r="U478" s="15"/>
    </row>
    <row r="479" customFormat="false" ht="15" hidden="false" customHeight="false" outlineLevel="0" collapsed="false">
      <c r="I479" s="15"/>
      <c r="N479" s="16"/>
      <c r="O479" s="17" t="str">
        <f aca="false">IF(OR($N479="",$N479=0),"",MAX(MIN($N479,Aannames!$B$5)*Aannames!$C$5+MAX(0,MIN($N479,Aannames!$B$6)-Aannames!$B$5)*Aannames!$C$6+MAX(0,MIN($N479,Aannames!$B$7)-Aannames!$B$6)*Aannames!$C$7+MAX(0,$N479-Aannames!$B$7)*Aannames!$C$8,Aannames!$B$9)+Aannames!$B$10)</f>
        <v/>
      </c>
      <c r="P479" s="18" t="str">
        <f aca="false">IF($L479="","",IFERROR(_xlfn.SWITCH($L479,"M1",Aannames!$B$16,"M2",Aannames!$B$17,"M3",Aannames!$B$18,"M4",Aannames!$B$19),""))</f>
        <v/>
      </c>
      <c r="Q479" s="17" t="str">
        <f aca="false">IF(OR($O479="",$P479=""),"",IFERROR(_xlfn.SWITCH($L479,"M1",Aannames!$B$10,"M2",Aannames!$B$10+($O479-Aannames!$B$10)*Aannames!$B$12,"M3",Aannames!$B$10+($O479-Aannames!$B$10)*(Aannames!$B$12+Aannames!$B$13),"M4",$O479),0)+($O479-IFERROR(_xlfn.SWITCH($L479,"M1",Aannames!$B$10,"M2",Aannames!$B$10+($O479-Aannames!$B$10)*Aannames!$B$12,"M3",Aannames!$B$10+($O479-Aannames!$B$10)*(Aannames!$B$12+Aannames!$B$13),"M4",$O479),0))*$P479)</f>
        <v/>
      </c>
      <c r="U479" s="15"/>
    </row>
    <row r="480" customFormat="false" ht="15" hidden="false" customHeight="false" outlineLevel="0" collapsed="false">
      <c r="I480" s="15"/>
      <c r="N480" s="16"/>
      <c r="O480" s="17" t="str">
        <f aca="false">IF(OR($N480="",$N480=0),"",MAX(MIN($N480,Aannames!$B$5)*Aannames!$C$5+MAX(0,MIN($N480,Aannames!$B$6)-Aannames!$B$5)*Aannames!$C$6+MAX(0,MIN($N480,Aannames!$B$7)-Aannames!$B$6)*Aannames!$C$7+MAX(0,$N480-Aannames!$B$7)*Aannames!$C$8,Aannames!$B$9)+Aannames!$B$10)</f>
        <v/>
      </c>
      <c r="P480" s="18" t="str">
        <f aca="false">IF($L480="","",IFERROR(_xlfn.SWITCH($L480,"M1",Aannames!$B$16,"M2",Aannames!$B$17,"M3",Aannames!$B$18,"M4",Aannames!$B$19),""))</f>
        <v/>
      </c>
      <c r="Q480" s="17" t="str">
        <f aca="false">IF(OR($O480="",$P480=""),"",IFERROR(_xlfn.SWITCH($L480,"M1",Aannames!$B$10,"M2",Aannames!$B$10+($O480-Aannames!$B$10)*Aannames!$B$12,"M3",Aannames!$B$10+($O480-Aannames!$B$10)*(Aannames!$B$12+Aannames!$B$13),"M4",$O480),0)+($O480-IFERROR(_xlfn.SWITCH($L480,"M1",Aannames!$B$10,"M2",Aannames!$B$10+($O480-Aannames!$B$10)*Aannames!$B$12,"M3",Aannames!$B$10+($O480-Aannames!$B$10)*(Aannames!$B$12+Aannames!$B$13),"M4",$O480),0))*$P480)</f>
        <v/>
      </c>
      <c r="U480" s="15"/>
    </row>
    <row r="481" customFormat="false" ht="15" hidden="false" customHeight="false" outlineLevel="0" collapsed="false">
      <c r="I481" s="15"/>
      <c r="N481" s="16"/>
      <c r="O481" s="17" t="str">
        <f aca="false">IF(OR($N481="",$N481=0),"",MAX(MIN($N481,Aannames!$B$5)*Aannames!$C$5+MAX(0,MIN($N481,Aannames!$B$6)-Aannames!$B$5)*Aannames!$C$6+MAX(0,MIN($N481,Aannames!$B$7)-Aannames!$B$6)*Aannames!$C$7+MAX(0,$N481-Aannames!$B$7)*Aannames!$C$8,Aannames!$B$9)+Aannames!$B$10)</f>
        <v/>
      </c>
      <c r="P481" s="18" t="str">
        <f aca="false">IF($L481="","",IFERROR(_xlfn.SWITCH($L481,"M1",Aannames!$B$16,"M2",Aannames!$B$17,"M3",Aannames!$B$18,"M4",Aannames!$B$19),""))</f>
        <v/>
      </c>
      <c r="Q481" s="17" t="str">
        <f aca="false">IF(OR($O481="",$P481=""),"",IFERROR(_xlfn.SWITCH($L481,"M1",Aannames!$B$10,"M2",Aannames!$B$10+($O481-Aannames!$B$10)*Aannames!$B$12,"M3",Aannames!$B$10+($O481-Aannames!$B$10)*(Aannames!$B$12+Aannames!$B$13),"M4",$O481),0)+($O481-IFERROR(_xlfn.SWITCH($L481,"M1",Aannames!$B$10,"M2",Aannames!$B$10+($O481-Aannames!$B$10)*Aannames!$B$12,"M3",Aannames!$B$10+($O481-Aannames!$B$10)*(Aannames!$B$12+Aannames!$B$13),"M4",$O481),0))*$P481)</f>
        <v/>
      </c>
      <c r="U481" s="15"/>
    </row>
    <row r="482" customFormat="false" ht="15" hidden="false" customHeight="false" outlineLevel="0" collapsed="false">
      <c r="I482" s="15"/>
      <c r="N482" s="16"/>
      <c r="O482" s="17" t="str">
        <f aca="false">IF(OR($N482="",$N482=0),"",MAX(MIN($N482,Aannames!$B$5)*Aannames!$C$5+MAX(0,MIN($N482,Aannames!$B$6)-Aannames!$B$5)*Aannames!$C$6+MAX(0,MIN($N482,Aannames!$B$7)-Aannames!$B$6)*Aannames!$C$7+MAX(0,$N482-Aannames!$B$7)*Aannames!$C$8,Aannames!$B$9)+Aannames!$B$10)</f>
        <v/>
      </c>
      <c r="P482" s="18" t="str">
        <f aca="false">IF($L482="","",IFERROR(_xlfn.SWITCH($L482,"M1",Aannames!$B$16,"M2",Aannames!$B$17,"M3",Aannames!$B$18,"M4",Aannames!$B$19),""))</f>
        <v/>
      </c>
      <c r="Q482" s="17" t="str">
        <f aca="false">IF(OR($O482="",$P482=""),"",IFERROR(_xlfn.SWITCH($L482,"M1",Aannames!$B$10,"M2",Aannames!$B$10+($O482-Aannames!$B$10)*Aannames!$B$12,"M3",Aannames!$B$10+($O482-Aannames!$B$10)*(Aannames!$B$12+Aannames!$B$13),"M4",$O482),0)+($O482-IFERROR(_xlfn.SWITCH($L482,"M1",Aannames!$B$10,"M2",Aannames!$B$10+($O482-Aannames!$B$10)*Aannames!$B$12,"M3",Aannames!$B$10+($O482-Aannames!$B$10)*(Aannames!$B$12+Aannames!$B$13),"M4",$O482),0))*$P482)</f>
        <v/>
      </c>
      <c r="U482" s="15"/>
    </row>
    <row r="483" customFormat="false" ht="15" hidden="false" customHeight="false" outlineLevel="0" collapsed="false">
      <c r="I483" s="15"/>
      <c r="N483" s="16"/>
      <c r="O483" s="17" t="str">
        <f aca="false">IF(OR($N483="",$N483=0),"",MAX(MIN($N483,Aannames!$B$5)*Aannames!$C$5+MAX(0,MIN($N483,Aannames!$B$6)-Aannames!$B$5)*Aannames!$C$6+MAX(0,MIN($N483,Aannames!$B$7)-Aannames!$B$6)*Aannames!$C$7+MAX(0,$N483-Aannames!$B$7)*Aannames!$C$8,Aannames!$B$9)+Aannames!$B$10)</f>
        <v/>
      </c>
      <c r="P483" s="18" t="str">
        <f aca="false">IF($L483="","",IFERROR(_xlfn.SWITCH($L483,"M1",Aannames!$B$16,"M2",Aannames!$B$17,"M3",Aannames!$B$18,"M4",Aannames!$B$19),""))</f>
        <v/>
      </c>
      <c r="Q483" s="17" t="str">
        <f aca="false">IF(OR($O483="",$P483=""),"",IFERROR(_xlfn.SWITCH($L483,"M1",Aannames!$B$10,"M2",Aannames!$B$10+($O483-Aannames!$B$10)*Aannames!$B$12,"M3",Aannames!$B$10+($O483-Aannames!$B$10)*(Aannames!$B$12+Aannames!$B$13),"M4",$O483),0)+($O483-IFERROR(_xlfn.SWITCH($L483,"M1",Aannames!$B$10,"M2",Aannames!$B$10+($O483-Aannames!$B$10)*Aannames!$B$12,"M3",Aannames!$B$10+($O483-Aannames!$B$10)*(Aannames!$B$12+Aannames!$B$13),"M4",$O483),0))*$P483)</f>
        <v/>
      </c>
      <c r="U483" s="15"/>
    </row>
    <row r="484" customFormat="false" ht="15" hidden="false" customHeight="false" outlineLevel="0" collapsed="false">
      <c r="I484" s="15"/>
      <c r="N484" s="16"/>
      <c r="O484" s="17" t="str">
        <f aca="false">IF(OR($N484="",$N484=0),"",MAX(MIN($N484,Aannames!$B$5)*Aannames!$C$5+MAX(0,MIN($N484,Aannames!$B$6)-Aannames!$B$5)*Aannames!$C$6+MAX(0,MIN($N484,Aannames!$B$7)-Aannames!$B$6)*Aannames!$C$7+MAX(0,$N484-Aannames!$B$7)*Aannames!$C$8,Aannames!$B$9)+Aannames!$B$10)</f>
        <v/>
      </c>
      <c r="P484" s="18" t="str">
        <f aca="false">IF($L484="","",IFERROR(_xlfn.SWITCH($L484,"M1",Aannames!$B$16,"M2",Aannames!$B$17,"M3",Aannames!$B$18,"M4",Aannames!$B$19),""))</f>
        <v/>
      </c>
      <c r="Q484" s="17" t="str">
        <f aca="false">IF(OR($O484="",$P484=""),"",IFERROR(_xlfn.SWITCH($L484,"M1",Aannames!$B$10,"M2",Aannames!$B$10+($O484-Aannames!$B$10)*Aannames!$B$12,"M3",Aannames!$B$10+($O484-Aannames!$B$10)*(Aannames!$B$12+Aannames!$B$13),"M4",$O484),0)+($O484-IFERROR(_xlfn.SWITCH($L484,"M1",Aannames!$B$10,"M2",Aannames!$B$10+($O484-Aannames!$B$10)*Aannames!$B$12,"M3",Aannames!$B$10+($O484-Aannames!$B$10)*(Aannames!$B$12+Aannames!$B$13),"M4",$O484),0))*$P484)</f>
        <v/>
      </c>
      <c r="U484" s="15"/>
    </row>
    <row r="485" customFormat="false" ht="15" hidden="false" customHeight="false" outlineLevel="0" collapsed="false">
      <c r="I485" s="15"/>
      <c r="N485" s="16"/>
      <c r="O485" s="17" t="str">
        <f aca="false">IF(OR($N485="",$N485=0),"",MAX(MIN($N485,Aannames!$B$5)*Aannames!$C$5+MAX(0,MIN($N485,Aannames!$B$6)-Aannames!$B$5)*Aannames!$C$6+MAX(0,MIN($N485,Aannames!$B$7)-Aannames!$B$6)*Aannames!$C$7+MAX(0,$N485-Aannames!$B$7)*Aannames!$C$8,Aannames!$B$9)+Aannames!$B$10)</f>
        <v/>
      </c>
      <c r="P485" s="18" t="str">
        <f aca="false">IF($L485="","",IFERROR(_xlfn.SWITCH($L485,"M1",Aannames!$B$16,"M2",Aannames!$B$17,"M3",Aannames!$B$18,"M4",Aannames!$B$19),""))</f>
        <v/>
      </c>
      <c r="Q485" s="17" t="str">
        <f aca="false">IF(OR($O485="",$P485=""),"",IFERROR(_xlfn.SWITCH($L485,"M1",Aannames!$B$10,"M2",Aannames!$B$10+($O485-Aannames!$B$10)*Aannames!$B$12,"M3",Aannames!$B$10+($O485-Aannames!$B$10)*(Aannames!$B$12+Aannames!$B$13),"M4",$O485),0)+($O485-IFERROR(_xlfn.SWITCH($L485,"M1",Aannames!$B$10,"M2",Aannames!$B$10+($O485-Aannames!$B$10)*Aannames!$B$12,"M3",Aannames!$B$10+($O485-Aannames!$B$10)*(Aannames!$B$12+Aannames!$B$13),"M4",$O485),0))*$P485)</f>
        <v/>
      </c>
      <c r="U485" s="15"/>
    </row>
    <row r="486" customFormat="false" ht="15" hidden="false" customHeight="false" outlineLevel="0" collapsed="false">
      <c r="I486" s="15"/>
      <c r="N486" s="16"/>
      <c r="O486" s="17" t="str">
        <f aca="false">IF(OR($N486="",$N486=0),"",MAX(MIN($N486,Aannames!$B$5)*Aannames!$C$5+MAX(0,MIN($N486,Aannames!$B$6)-Aannames!$B$5)*Aannames!$C$6+MAX(0,MIN($N486,Aannames!$B$7)-Aannames!$B$6)*Aannames!$C$7+MAX(0,$N486-Aannames!$B$7)*Aannames!$C$8,Aannames!$B$9)+Aannames!$B$10)</f>
        <v/>
      </c>
      <c r="P486" s="18" t="str">
        <f aca="false">IF($L486="","",IFERROR(_xlfn.SWITCH($L486,"M1",Aannames!$B$16,"M2",Aannames!$B$17,"M3",Aannames!$B$18,"M4",Aannames!$B$19),""))</f>
        <v/>
      </c>
      <c r="Q486" s="17" t="str">
        <f aca="false">IF(OR($O486="",$P486=""),"",IFERROR(_xlfn.SWITCH($L486,"M1",Aannames!$B$10,"M2",Aannames!$B$10+($O486-Aannames!$B$10)*Aannames!$B$12,"M3",Aannames!$B$10+($O486-Aannames!$B$10)*(Aannames!$B$12+Aannames!$B$13),"M4",$O486),0)+($O486-IFERROR(_xlfn.SWITCH($L486,"M1",Aannames!$B$10,"M2",Aannames!$B$10+($O486-Aannames!$B$10)*Aannames!$B$12,"M3",Aannames!$B$10+($O486-Aannames!$B$10)*(Aannames!$B$12+Aannames!$B$13),"M4",$O486),0))*$P486)</f>
        <v/>
      </c>
      <c r="U486" s="15"/>
    </row>
    <row r="487" customFormat="false" ht="15" hidden="false" customHeight="false" outlineLevel="0" collapsed="false">
      <c r="I487" s="15"/>
      <c r="N487" s="16"/>
      <c r="O487" s="17" t="str">
        <f aca="false">IF(OR($N487="",$N487=0),"",MAX(MIN($N487,Aannames!$B$5)*Aannames!$C$5+MAX(0,MIN($N487,Aannames!$B$6)-Aannames!$B$5)*Aannames!$C$6+MAX(0,MIN($N487,Aannames!$B$7)-Aannames!$B$6)*Aannames!$C$7+MAX(0,$N487-Aannames!$B$7)*Aannames!$C$8,Aannames!$B$9)+Aannames!$B$10)</f>
        <v/>
      </c>
      <c r="P487" s="18" t="str">
        <f aca="false">IF($L487="","",IFERROR(_xlfn.SWITCH($L487,"M1",Aannames!$B$16,"M2",Aannames!$B$17,"M3",Aannames!$B$18,"M4",Aannames!$B$19),""))</f>
        <v/>
      </c>
      <c r="Q487" s="17" t="str">
        <f aca="false">IF(OR($O487="",$P487=""),"",IFERROR(_xlfn.SWITCH($L487,"M1",Aannames!$B$10,"M2",Aannames!$B$10+($O487-Aannames!$B$10)*Aannames!$B$12,"M3",Aannames!$B$10+($O487-Aannames!$B$10)*(Aannames!$B$12+Aannames!$B$13),"M4",$O487),0)+($O487-IFERROR(_xlfn.SWITCH($L487,"M1",Aannames!$B$10,"M2",Aannames!$B$10+($O487-Aannames!$B$10)*Aannames!$B$12,"M3",Aannames!$B$10+($O487-Aannames!$B$10)*(Aannames!$B$12+Aannames!$B$13),"M4",$O487),0))*$P487)</f>
        <v/>
      </c>
      <c r="U487" s="15"/>
    </row>
    <row r="488" customFormat="false" ht="15" hidden="false" customHeight="false" outlineLevel="0" collapsed="false">
      <c r="I488" s="15"/>
      <c r="N488" s="16"/>
      <c r="O488" s="17" t="str">
        <f aca="false">IF(OR($N488="",$N488=0),"",MAX(MIN($N488,Aannames!$B$5)*Aannames!$C$5+MAX(0,MIN($N488,Aannames!$B$6)-Aannames!$B$5)*Aannames!$C$6+MAX(0,MIN($N488,Aannames!$B$7)-Aannames!$B$6)*Aannames!$C$7+MAX(0,$N488-Aannames!$B$7)*Aannames!$C$8,Aannames!$B$9)+Aannames!$B$10)</f>
        <v/>
      </c>
      <c r="P488" s="18" t="str">
        <f aca="false">IF($L488="","",IFERROR(_xlfn.SWITCH($L488,"M1",Aannames!$B$16,"M2",Aannames!$B$17,"M3",Aannames!$B$18,"M4",Aannames!$B$19),""))</f>
        <v/>
      </c>
      <c r="Q488" s="17" t="str">
        <f aca="false">IF(OR($O488="",$P488=""),"",IFERROR(_xlfn.SWITCH($L488,"M1",Aannames!$B$10,"M2",Aannames!$B$10+($O488-Aannames!$B$10)*Aannames!$B$12,"M3",Aannames!$B$10+($O488-Aannames!$B$10)*(Aannames!$B$12+Aannames!$B$13),"M4",$O488),0)+($O488-IFERROR(_xlfn.SWITCH($L488,"M1",Aannames!$B$10,"M2",Aannames!$B$10+($O488-Aannames!$B$10)*Aannames!$B$12,"M3",Aannames!$B$10+($O488-Aannames!$B$10)*(Aannames!$B$12+Aannames!$B$13),"M4",$O488),0))*$P488)</f>
        <v/>
      </c>
      <c r="U488" s="15"/>
    </row>
    <row r="489" customFormat="false" ht="15" hidden="false" customHeight="false" outlineLevel="0" collapsed="false">
      <c r="I489" s="15"/>
      <c r="N489" s="16"/>
      <c r="O489" s="17" t="str">
        <f aca="false">IF(OR($N489="",$N489=0),"",MAX(MIN($N489,Aannames!$B$5)*Aannames!$C$5+MAX(0,MIN($N489,Aannames!$B$6)-Aannames!$B$5)*Aannames!$C$6+MAX(0,MIN($N489,Aannames!$B$7)-Aannames!$B$6)*Aannames!$C$7+MAX(0,$N489-Aannames!$B$7)*Aannames!$C$8,Aannames!$B$9)+Aannames!$B$10)</f>
        <v/>
      </c>
      <c r="P489" s="18" t="str">
        <f aca="false">IF($L489="","",IFERROR(_xlfn.SWITCH($L489,"M1",Aannames!$B$16,"M2",Aannames!$B$17,"M3",Aannames!$B$18,"M4",Aannames!$B$19),""))</f>
        <v/>
      </c>
      <c r="Q489" s="17" t="str">
        <f aca="false">IF(OR($O489="",$P489=""),"",IFERROR(_xlfn.SWITCH($L489,"M1",Aannames!$B$10,"M2",Aannames!$B$10+($O489-Aannames!$B$10)*Aannames!$B$12,"M3",Aannames!$B$10+($O489-Aannames!$B$10)*(Aannames!$B$12+Aannames!$B$13),"M4",$O489),0)+($O489-IFERROR(_xlfn.SWITCH($L489,"M1",Aannames!$B$10,"M2",Aannames!$B$10+($O489-Aannames!$B$10)*Aannames!$B$12,"M3",Aannames!$B$10+($O489-Aannames!$B$10)*(Aannames!$B$12+Aannames!$B$13),"M4",$O489),0))*$P489)</f>
        <v/>
      </c>
      <c r="U489" s="15"/>
    </row>
    <row r="490" customFormat="false" ht="15" hidden="false" customHeight="false" outlineLevel="0" collapsed="false">
      <c r="I490" s="15"/>
      <c r="N490" s="16"/>
      <c r="O490" s="17" t="str">
        <f aca="false">IF(OR($N490="",$N490=0),"",MAX(MIN($N490,Aannames!$B$5)*Aannames!$C$5+MAX(0,MIN($N490,Aannames!$B$6)-Aannames!$B$5)*Aannames!$C$6+MAX(0,MIN($N490,Aannames!$B$7)-Aannames!$B$6)*Aannames!$C$7+MAX(0,$N490-Aannames!$B$7)*Aannames!$C$8,Aannames!$B$9)+Aannames!$B$10)</f>
        <v/>
      </c>
      <c r="P490" s="18" t="str">
        <f aca="false">IF($L490="","",IFERROR(_xlfn.SWITCH($L490,"M1",Aannames!$B$16,"M2",Aannames!$B$17,"M3",Aannames!$B$18,"M4",Aannames!$B$19),""))</f>
        <v/>
      </c>
      <c r="Q490" s="17" t="str">
        <f aca="false">IF(OR($O490="",$P490=""),"",IFERROR(_xlfn.SWITCH($L490,"M1",Aannames!$B$10,"M2",Aannames!$B$10+($O490-Aannames!$B$10)*Aannames!$B$12,"M3",Aannames!$B$10+($O490-Aannames!$B$10)*(Aannames!$B$12+Aannames!$B$13),"M4",$O490),0)+($O490-IFERROR(_xlfn.SWITCH($L490,"M1",Aannames!$B$10,"M2",Aannames!$B$10+($O490-Aannames!$B$10)*Aannames!$B$12,"M3",Aannames!$B$10+($O490-Aannames!$B$10)*(Aannames!$B$12+Aannames!$B$13),"M4",$O490),0))*$P490)</f>
        <v/>
      </c>
      <c r="U490" s="15"/>
    </row>
    <row r="491" customFormat="false" ht="15" hidden="false" customHeight="false" outlineLevel="0" collapsed="false">
      <c r="I491" s="15"/>
      <c r="N491" s="16"/>
      <c r="O491" s="17" t="str">
        <f aca="false">IF(OR($N491="",$N491=0),"",MAX(MIN($N491,Aannames!$B$5)*Aannames!$C$5+MAX(0,MIN($N491,Aannames!$B$6)-Aannames!$B$5)*Aannames!$C$6+MAX(0,MIN($N491,Aannames!$B$7)-Aannames!$B$6)*Aannames!$C$7+MAX(0,$N491-Aannames!$B$7)*Aannames!$C$8,Aannames!$B$9)+Aannames!$B$10)</f>
        <v/>
      </c>
      <c r="P491" s="18" t="str">
        <f aca="false">IF($L491="","",IFERROR(_xlfn.SWITCH($L491,"M1",Aannames!$B$16,"M2",Aannames!$B$17,"M3",Aannames!$B$18,"M4",Aannames!$B$19),""))</f>
        <v/>
      </c>
      <c r="Q491" s="17" t="str">
        <f aca="false">IF(OR($O491="",$P491=""),"",IFERROR(_xlfn.SWITCH($L491,"M1",Aannames!$B$10,"M2",Aannames!$B$10+($O491-Aannames!$B$10)*Aannames!$B$12,"M3",Aannames!$B$10+($O491-Aannames!$B$10)*(Aannames!$B$12+Aannames!$B$13),"M4",$O491),0)+($O491-IFERROR(_xlfn.SWITCH($L491,"M1",Aannames!$B$10,"M2",Aannames!$B$10+($O491-Aannames!$B$10)*Aannames!$B$12,"M3",Aannames!$B$10+($O491-Aannames!$B$10)*(Aannames!$B$12+Aannames!$B$13),"M4",$O491),0))*$P491)</f>
        <v/>
      </c>
      <c r="U491" s="15"/>
    </row>
    <row r="492" customFormat="false" ht="15" hidden="false" customHeight="false" outlineLevel="0" collapsed="false">
      <c r="I492" s="15"/>
      <c r="N492" s="16"/>
      <c r="O492" s="17" t="str">
        <f aca="false">IF(OR($N492="",$N492=0),"",MAX(MIN($N492,Aannames!$B$5)*Aannames!$C$5+MAX(0,MIN($N492,Aannames!$B$6)-Aannames!$B$5)*Aannames!$C$6+MAX(0,MIN($N492,Aannames!$B$7)-Aannames!$B$6)*Aannames!$C$7+MAX(0,$N492-Aannames!$B$7)*Aannames!$C$8,Aannames!$B$9)+Aannames!$B$10)</f>
        <v/>
      </c>
      <c r="P492" s="18" t="str">
        <f aca="false">IF($L492="","",IFERROR(_xlfn.SWITCH($L492,"M1",Aannames!$B$16,"M2",Aannames!$B$17,"M3",Aannames!$B$18,"M4",Aannames!$B$19),""))</f>
        <v/>
      </c>
      <c r="Q492" s="17" t="str">
        <f aca="false">IF(OR($O492="",$P492=""),"",IFERROR(_xlfn.SWITCH($L492,"M1",Aannames!$B$10,"M2",Aannames!$B$10+($O492-Aannames!$B$10)*Aannames!$B$12,"M3",Aannames!$B$10+($O492-Aannames!$B$10)*(Aannames!$B$12+Aannames!$B$13),"M4",$O492),0)+($O492-IFERROR(_xlfn.SWITCH($L492,"M1",Aannames!$B$10,"M2",Aannames!$B$10+($O492-Aannames!$B$10)*Aannames!$B$12,"M3",Aannames!$B$10+($O492-Aannames!$B$10)*(Aannames!$B$12+Aannames!$B$13),"M4",$O492),0))*$P492)</f>
        <v/>
      </c>
      <c r="U492" s="15"/>
    </row>
    <row r="493" customFormat="false" ht="15" hidden="false" customHeight="false" outlineLevel="0" collapsed="false">
      <c r="I493" s="15"/>
      <c r="N493" s="16"/>
      <c r="O493" s="17" t="str">
        <f aca="false">IF(OR($N493="",$N493=0),"",MAX(MIN($N493,Aannames!$B$5)*Aannames!$C$5+MAX(0,MIN($N493,Aannames!$B$6)-Aannames!$B$5)*Aannames!$C$6+MAX(0,MIN($N493,Aannames!$B$7)-Aannames!$B$6)*Aannames!$C$7+MAX(0,$N493-Aannames!$B$7)*Aannames!$C$8,Aannames!$B$9)+Aannames!$B$10)</f>
        <v/>
      </c>
      <c r="P493" s="18" t="str">
        <f aca="false">IF($L493="","",IFERROR(_xlfn.SWITCH($L493,"M1",Aannames!$B$16,"M2",Aannames!$B$17,"M3",Aannames!$B$18,"M4",Aannames!$B$19),""))</f>
        <v/>
      </c>
      <c r="Q493" s="17" t="str">
        <f aca="false">IF(OR($O493="",$P493=""),"",IFERROR(_xlfn.SWITCH($L493,"M1",Aannames!$B$10,"M2",Aannames!$B$10+($O493-Aannames!$B$10)*Aannames!$B$12,"M3",Aannames!$B$10+($O493-Aannames!$B$10)*(Aannames!$B$12+Aannames!$B$13),"M4",$O493),0)+($O493-IFERROR(_xlfn.SWITCH($L493,"M1",Aannames!$B$10,"M2",Aannames!$B$10+($O493-Aannames!$B$10)*Aannames!$B$12,"M3",Aannames!$B$10+($O493-Aannames!$B$10)*(Aannames!$B$12+Aannames!$B$13),"M4",$O493),0))*$P493)</f>
        <v/>
      </c>
      <c r="U493" s="15"/>
    </row>
    <row r="494" customFormat="false" ht="15" hidden="false" customHeight="false" outlineLevel="0" collapsed="false">
      <c r="I494" s="15"/>
      <c r="N494" s="16"/>
      <c r="O494" s="17" t="str">
        <f aca="false">IF(OR($N494="",$N494=0),"",MAX(MIN($N494,Aannames!$B$5)*Aannames!$C$5+MAX(0,MIN($N494,Aannames!$B$6)-Aannames!$B$5)*Aannames!$C$6+MAX(0,MIN($N494,Aannames!$B$7)-Aannames!$B$6)*Aannames!$C$7+MAX(0,$N494-Aannames!$B$7)*Aannames!$C$8,Aannames!$B$9)+Aannames!$B$10)</f>
        <v/>
      </c>
      <c r="P494" s="18" t="str">
        <f aca="false">IF($L494="","",IFERROR(_xlfn.SWITCH($L494,"M1",Aannames!$B$16,"M2",Aannames!$B$17,"M3",Aannames!$B$18,"M4",Aannames!$B$19),""))</f>
        <v/>
      </c>
      <c r="Q494" s="17" t="str">
        <f aca="false">IF(OR($O494="",$P494=""),"",IFERROR(_xlfn.SWITCH($L494,"M1",Aannames!$B$10,"M2",Aannames!$B$10+($O494-Aannames!$B$10)*Aannames!$B$12,"M3",Aannames!$B$10+($O494-Aannames!$B$10)*(Aannames!$B$12+Aannames!$B$13),"M4",$O494),0)+($O494-IFERROR(_xlfn.SWITCH($L494,"M1",Aannames!$B$10,"M2",Aannames!$B$10+($O494-Aannames!$B$10)*Aannames!$B$12,"M3",Aannames!$B$10+($O494-Aannames!$B$10)*(Aannames!$B$12+Aannames!$B$13),"M4",$O494),0))*$P494)</f>
        <v/>
      </c>
      <c r="U494" s="15"/>
    </row>
    <row r="495" customFormat="false" ht="15" hidden="false" customHeight="false" outlineLevel="0" collapsed="false">
      <c r="I495" s="15"/>
      <c r="N495" s="16"/>
      <c r="O495" s="17" t="str">
        <f aca="false">IF(OR($N495="",$N495=0),"",MAX(MIN($N495,Aannames!$B$5)*Aannames!$C$5+MAX(0,MIN($N495,Aannames!$B$6)-Aannames!$B$5)*Aannames!$C$6+MAX(0,MIN($N495,Aannames!$B$7)-Aannames!$B$6)*Aannames!$C$7+MAX(0,$N495-Aannames!$B$7)*Aannames!$C$8,Aannames!$B$9)+Aannames!$B$10)</f>
        <v/>
      </c>
      <c r="P495" s="18" t="str">
        <f aca="false">IF($L495="","",IFERROR(_xlfn.SWITCH($L495,"M1",Aannames!$B$16,"M2",Aannames!$B$17,"M3",Aannames!$B$18,"M4",Aannames!$B$19),""))</f>
        <v/>
      </c>
      <c r="Q495" s="17" t="str">
        <f aca="false">IF(OR($O495="",$P495=""),"",IFERROR(_xlfn.SWITCH($L495,"M1",Aannames!$B$10,"M2",Aannames!$B$10+($O495-Aannames!$B$10)*Aannames!$B$12,"M3",Aannames!$B$10+($O495-Aannames!$B$10)*(Aannames!$B$12+Aannames!$B$13),"M4",$O495),0)+($O495-IFERROR(_xlfn.SWITCH($L495,"M1",Aannames!$B$10,"M2",Aannames!$B$10+($O495-Aannames!$B$10)*Aannames!$B$12,"M3",Aannames!$B$10+($O495-Aannames!$B$10)*(Aannames!$B$12+Aannames!$B$13),"M4",$O495),0))*$P495)</f>
        <v/>
      </c>
      <c r="U495" s="15"/>
    </row>
    <row r="496" customFormat="false" ht="15" hidden="false" customHeight="false" outlineLevel="0" collapsed="false">
      <c r="I496" s="15"/>
      <c r="N496" s="16"/>
      <c r="O496" s="17" t="str">
        <f aca="false">IF(OR($N496="",$N496=0),"",MAX(MIN($N496,Aannames!$B$5)*Aannames!$C$5+MAX(0,MIN($N496,Aannames!$B$6)-Aannames!$B$5)*Aannames!$C$6+MAX(0,MIN($N496,Aannames!$B$7)-Aannames!$B$6)*Aannames!$C$7+MAX(0,$N496-Aannames!$B$7)*Aannames!$C$8,Aannames!$B$9)+Aannames!$B$10)</f>
        <v/>
      </c>
      <c r="P496" s="18" t="str">
        <f aca="false">IF($L496="","",IFERROR(_xlfn.SWITCH($L496,"M1",Aannames!$B$16,"M2",Aannames!$B$17,"M3",Aannames!$B$18,"M4",Aannames!$B$19),""))</f>
        <v/>
      </c>
      <c r="Q496" s="17" t="str">
        <f aca="false">IF(OR($O496="",$P496=""),"",IFERROR(_xlfn.SWITCH($L496,"M1",Aannames!$B$10,"M2",Aannames!$B$10+($O496-Aannames!$B$10)*Aannames!$B$12,"M3",Aannames!$B$10+($O496-Aannames!$B$10)*(Aannames!$B$12+Aannames!$B$13),"M4",$O496),0)+($O496-IFERROR(_xlfn.SWITCH($L496,"M1",Aannames!$B$10,"M2",Aannames!$B$10+($O496-Aannames!$B$10)*Aannames!$B$12,"M3",Aannames!$B$10+($O496-Aannames!$B$10)*(Aannames!$B$12+Aannames!$B$13),"M4",$O496),0))*$P496)</f>
        <v/>
      </c>
      <c r="U496" s="15"/>
    </row>
    <row r="497" customFormat="false" ht="15" hidden="false" customHeight="false" outlineLevel="0" collapsed="false">
      <c r="I497" s="15"/>
      <c r="N497" s="16"/>
      <c r="O497" s="17" t="str">
        <f aca="false">IF(OR($N497="",$N497=0),"",MAX(MIN($N497,Aannames!$B$5)*Aannames!$C$5+MAX(0,MIN($N497,Aannames!$B$6)-Aannames!$B$5)*Aannames!$C$6+MAX(0,MIN($N497,Aannames!$B$7)-Aannames!$B$6)*Aannames!$C$7+MAX(0,$N497-Aannames!$B$7)*Aannames!$C$8,Aannames!$B$9)+Aannames!$B$10)</f>
        <v/>
      </c>
      <c r="P497" s="18" t="str">
        <f aca="false">IF($L497="","",IFERROR(_xlfn.SWITCH($L497,"M1",Aannames!$B$16,"M2",Aannames!$B$17,"M3",Aannames!$B$18,"M4",Aannames!$B$19),""))</f>
        <v/>
      </c>
      <c r="Q497" s="17" t="str">
        <f aca="false">IF(OR($O497="",$P497=""),"",IFERROR(_xlfn.SWITCH($L497,"M1",Aannames!$B$10,"M2",Aannames!$B$10+($O497-Aannames!$B$10)*Aannames!$B$12,"M3",Aannames!$B$10+($O497-Aannames!$B$10)*(Aannames!$B$12+Aannames!$B$13),"M4",$O497),0)+($O497-IFERROR(_xlfn.SWITCH($L497,"M1",Aannames!$B$10,"M2",Aannames!$B$10+($O497-Aannames!$B$10)*Aannames!$B$12,"M3",Aannames!$B$10+($O497-Aannames!$B$10)*(Aannames!$B$12+Aannames!$B$13),"M4",$O497),0))*$P497)</f>
        <v/>
      </c>
      <c r="U497" s="15"/>
    </row>
    <row r="498" customFormat="false" ht="15" hidden="false" customHeight="false" outlineLevel="0" collapsed="false">
      <c r="I498" s="15"/>
      <c r="N498" s="16"/>
      <c r="O498" s="17" t="str">
        <f aca="false">IF(OR($N498="",$N498=0),"",MAX(MIN($N498,Aannames!$B$5)*Aannames!$C$5+MAX(0,MIN($N498,Aannames!$B$6)-Aannames!$B$5)*Aannames!$C$6+MAX(0,MIN($N498,Aannames!$B$7)-Aannames!$B$6)*Aannames!$C$7+MAX(0,$N498-Aannames!$B$7)*Aannames!$C$8,Aannames!$B$9)+Aannames!$B$10)</f>
        <v/>
      </c>
      <c r="P498" s="18" t="str">
        <f aca="false">IF($L498="","",IFERROR(_xlfn.SWITCH($L498,"M1",Aannames!$B$16,"M2",Aannames!$B$17,"M3",Aannames!$B$18,"M4",Aannames!$B$19),""))</f>
        <v/>
      </c>
      <c r="Q498" s="17" t="str">
        <f aca="false">IF(OR($O498="",$P498=""),"",IFERROR(_xlfn.SWITCH($L498,"M1",Aannames!$B$10,"M2",Aannames!$B$10+($O498-Aannames!$B$10)*Aannames!$B$12,"M3",Aannames!$B$10+($O498-Aannames!$B$10)*(Aannames!$B$12+Aannames!$B$13),"M4",$O498),0)+($O498-IFERROR(_xlfn.SWITCH($L498,"M1",Aannames!$B$10,"M2",Aannames!$B$10+($O498-Aannames!$B$10)*Aannames!$B$12,"M3",Aannames!$B$10+($O498-Aannames!$B$10)*(Aannames!$B$12+Aannames!$B$13),"M4",$O498),0))*$P498)</f>
        <v/>
      </c>
      <c r="U498" s="15"/>
    </row>
    <row r="499" customFormat="false" ht="15" hidden="false" customHeight="false" outlineLevel="0" collapsed="false">
      <c r="I499" s="15"/>
      <c r="N499" s="16"/>
      <c r="O499" s="17" t="str">
        <f aca="false">IF(OR($N499="",$N499=0),"",MAX(MIN($N499,Aannames!$B$5)*Aannames!$C$5+MAX(0,MIN($N499,Aannames!$B$6)-Aannames!$B$5)*Aannames!$C$6+MAX(0,MIN($N499,Aannames!$B$7)-Aannames!$B$6)*Aannames!$C$7+MAX(0,$N499-Aannames!$B$7)*Aannames!$C$8,Aannames!$B$9)+Aannames!$B$10)</f>
        <v/>
      </c>
      <c r="P499" s="18" t="str">
        <f aca="false">IF($L499="","",IFERROR(_xlfn.SWITCH($L499,"M1",Aannames!$B$16,"M2",Aannames!$B$17,"M3",Aannames!$B$18,"M4",Aannames!$B$19),""))</f>
        <v/>
      </c>
      <c r="Q499" s="17" t="str">
        <f aca="false">IF(OR($O499="",$P499=""),"",IFERROR(_xlfn.SWITCH($L499,"M1",Aannames!$B$10,"M2",Aannames!$B$10+($O499-Aannames!$B$10)*Aannames!$B$12,"M3",Aannames!$B$10+($O499-Aannames!$B$10)*(Aannames!$B$12+Aannames!$B$13),"M4",$O499),0)+($O499-IFERROR(_xlfn.SWITCH($L499,"M1",Aannames!$B$10,"M2",Aannames!$B$10+($O499-Aannames!$B$10)*Aannames!$B$12,"M3",Aannames!$B$10+($O499-Aannames!$B$10)*(Aannames!$B$12+Aannames!$B$13),"M4",$O499),0))*$P499)</f>
        <v/>
      </c>
      <c r="U499" s="15"/>
    </row>
    <row r="500" customFormat="false" ht="15" hidden="false" customHeight="false" outlineLevel="0" collapsed="false">
      <c r="I500" s="15"/>
      <c r="N500" s="16"/>
      <c r="O500" s="17" t="str">
        <f aca="false">IF(OR($N500="",$N500=0),"",MAX(MIN($N500,Aannames!$B$5)*Aannames!$C$5+MAX(0,MIN($N500,Aannames!$B$6)-Aannames!$B$5)*Aannames!$C$6+MAX(0,MIN($N500,Aannames!$B$7)-Aannames!$B$6)*Aannames!$C$7+MAX(0,$N500-Aannames!$B$7)*Aannames!$C$8,Aannames!$B$9)+Aannames!$B$10)</f>
        <v/>
      </c>
      <c r="P500" s="18" t="str">
        <f aca="false">IF($L500="","",IFERROR(_xlfn.SWITCH($L500,"M1",Aannames!$B$16,"M2",Aannames!$B$17,"M3",Aannames!$B$18,"M4",Aannames!$B$19),""))</f>
        <v/>
      </c>
      <c r="Q500" s="17" t="str">
        <f aca="false">IF(OR($O500="",$P500=""),"",IFERROR(_xlfn.SWITCH($L500,"M1",Aannames!$B$10,"M2",Aannames!$B$10+($O500-Aannames!$B$10)*Aannames!$B$12,"M3",Aannames!$B$10+($O500-Aannames!$B$10)*(Aannames!$B$12+Aannames!$B$13),"M4",$O500),0)+($O500-IFERROR(_xlfn.SWITCH($L500,"M1",Aannames!$B$10,"M2",Aannames!$B$10+($O500-Aannames!$B$10)*Aannames!$B$12,"M3",Aannames!$B$10+($O500-Aannames!$B$10)*(Aannames!$B$12+Aannames!$B$13),"M4",$O500),0))*$P500)</f>
        <v/>
      </c>
      <c r="U500" s="15"/>
    </row>
    <row r="501" customFormat="false" ht="15" hidden="false" customHeight="false" outlineLevel="0" collapsed="false">
      <c r="I501" s="15"/>
      <c r="N501" s="16"/>
      <c r="O501" s="17" t="str">
        <f aca="false">IF(OR($N501="",$N501=0),"",MAX(MIN($N501,Aannames!$B$5)*Aannames!$C$5+MAX(0,MIN($N501,Aannames!$B$6)-Aannames!$B$5)*Aannames!$C$6+MAX(0,MIN($N501,Aannames!$B$7)-Aannames!$B$6)*Aannames!$C$7+MAX(0,$N501-Aannames!$B$7)*Aannames!$C$8,Aannames!$B$9)+Aannames!$B$10)</f>
        <v/>
      </c>
      <c r="P501" s="18" t="str">
        <f aca="false">IF($L501="","",IFERROR(_xlfn.SWITCH($L501,"M1",Aannames!$B$16,"M2",Aannames!$B$17,"M3",Aannames!$B$18,"M4",Aannames!$B$19),""))</f>
        <v/>
      </c>
      <c r="Q501" s="17" t="str">
        <f aca="false">IF(OR($O501="",$P501=""),"",IFERROR(_xlfn.SWITCH($L501,"M1",Aannames!$B$10,"M2",Aannames!$B$10+($O501-Aannames!$B$10)*Aannames!$B$12,"M3",Aannames!$B$10+($O501-Aannames!$B$10)*(Aannames!$B$12+Aannames!$B$13),"M4",$O501),0)+($O501-IFERROR(_xlfn.SWITCH($L501,"M1",Aannames!$B$10,"M2",Aannames!$B$10+($O501-Aannames!$B$10)*Aannames!$B$12,"M3",Aannames!$B$10+($O501-Aannames!$B$10)*(Aannames!$B$12+Aannames!$B$13),"M4",$O501),0))*$P501)</f>
        <v/>
      </c>
      <c r="U501" s="15"/>
    </row>
    <row r="502" customFormat="false" ht="15" hidden="false" customHeight="false" outlineLevel="0" collapsed="false">
      <c r="I502" s="15"/>
      <c r="N502" s="16"/>
      <c r="O502" s="17" t="str">
        <f aca="false">IF(OR($N502="",$N502=0),"",MAX(MIN($N502,Aannames!$B$5)*Aannames!$C$5+MAX(0,MIN($N502,Aannames!$B$6)-Aannames!$B$5)*Aannames!$C$6+MAX(0,MIN($N502,Aannames!$B$7)-Aannames!$B$6)*Aannames!$C$7+MAX(0,$N502-Aannames!$B$7)*Aannames!$C$8,Aannames!$B$9)+Aannames!$B$10)</f>
        <v/>
      </c>
      <c r="P502" s="18" t="str">
        <f aca="false">IF($L502="","",IFERROR(_xlfn.SWITCH($L502,"M1",Aannames!$B$16,"M2",Aannames!$B$17,"M3",Aannames!$B$18,"M4",Aannames!$B$19),""))</f>
        <v/>
      </c>
      <c r="Q502" s="17" t="str">
        <f aca="false">IF(OR($O502="",$P502=""),"",IFERROR(_xlfn.SWITCH($L502,"M1",Aannames!$B$10,"M2",Aannames!$B$10+($O502-Aannames!$B$10)*Aannames!$B$12,"M3",Aannames!$B$10+($O502-Aannames!$B$10)*(Aannames!$B$12+Aannames!$B$13),"M4",$O502),0)+($O502-IFERROR(_xlfn.SWITCH($L502,"M1",Aannames!$B$10,"M2",Aannames!$B$10+($O502-Aannames!$B$10)*Aannames!$B$12,"M3",Aannames!$B$10+($O502-Aannames!$B$10)*(Aannames!$B$12+Aannames!$B$13),"M4",$O502),0))*$P502)</f>
        <v/>
      </c>
      <c r="U502" s="15"/>
    </row>
    <row r="503" customFormat="false" ht="15" hidden="false" customHeight="false" outlineLevel="0" collapsed="false">
      <c r="I503" s="15"/>
      <c r="N503" s="16"/>
      <c r="O503" s="17" t="str">
        <f aca="false">IF(OR($N503="",$N503=0),"",MAX(MIN($N503,Aannames!$B$5)*Aannames!$C$5+MAX(0,MIN($N503,Aannames!$B$6)-Aannames!$B$5)*Aannames!$C$6+MAX(0,MIN($N503,Aannames!$B$7)-Aannames!$B$6)*Aannames!$C$7+MAX(0,$N503-Aannames!$B$7)*Aannames!$C$8,Aannames!$B$9)+Aannames!$B$10)</f>
        <v/>
      </c>
      <c r="P503" s="18" t="str">
        <f aca="false">IF($L503="","",IFERROR(_xlfn.SWITCH($L503,"M1",Aannames!$B$16,"M2",Aannames!$B$17,"M3",Aannames!$B$18,"M4",Aannames!$B$19),""))</f>
        <v/>
      </c>
      <c r="Q503" s="17" t="str">
        <f aca="false">IF(OR($O503="",$P503=""),"",IFERROR(_xlfn.SWITCH($L503,"M1",Aannames!$B$10,"M2",Aannames!$B$10+($O503-Aannames!$B$10)*Aannames!$B$12,"M3",Aannames!$B$10+($O503-Aannames!$B$10)*(Aannames!$B$12+Aannames!$B$13),"M4",$O503),0)+($O503-IFERROR(_xlfn.SWITCH($L503,"M1",Aannames!$B$10,"M2",Aannames!$B$10+($O503-Aannames!$B$10)*Aannames!$B$12,"M3",Aannames!$B$10+($O503-Aannames!$B$10)*(Aannames!$B$12+Aannames!$B$13),"M4",$O503),0))*$P503)</f>
        <v/>
      </c>
      <c r="U503" s="15"/>
    </row>
    <row r="504" customFormat="false" ht="15" hidden="false" customHeight="false" outlineLevel="0" collapsed="false">
      <c r="I504" s="15"/>
      <c r="N504" s="16"/>
      <c r="O504" s="17" t="str">
        <f aca="false">IF(OR($N504="",$N504=0),"",MAX(MIN($N504,Aannames!$B$5)*Aannames!$C$5+MAX(0,MIN($N504,Aannames!$B$6)-Aannames!$B$5)*Aannames!$C$6+MAX(0,MIN($N504,Aannames!$B$7)-Aannames!$B$6)*Aannames!$C$7+MAX(0,$N504-Aannames!$B$7)*Aannames!$C$8,Aannames!$B$9)+Aannames!$B$10)</f>
        <v/>
      </c>
      <c r="P504" s="18" t="str">
        <f aca="false">IF($L504="","",IFERROR(_xlfn.SWITCH($L504,"M1",Aannames!$B$16,"M2",Aannames!$B$17,"M3",Aannames!$B$18,"M4",Aannames!$B$19),""))</f>
        <v/>
      </c>
      <c r="Q504" s="17" t="str">
        <f aca="false">IF(OR($O504="",$P504=""),"",IFERROR(_xlfn.SWITCH($L504,"M1",Aannames!$B$10,"M2",Aannames!$B$10+($O504-Aannames!$B$10)*Aannames!$B$12,"M3",Aannames!$B$10+($O504-Aannames!$B$10)*(Aannames!$B$12+Aannames!$B$13),"M4",$O504),0)+($O504-IFERROR(_xlfn.SWITCH($L504,"M1",Aannames!$B$10,"M2",Aannames!$B$10+($O504-Aannames!$B$10)*Aannames!$B$12,"M3",Aannames!$B$10+($O504-Aannames!$B$10)*(Aannames!$B$12+Aannames!$B$13),"M4",$O504),0))*$P504)</f>
        <v/>
      </c>
      <c r="U504" s="15"/>
    </row>
  </sheetData>
  <dataValidations count="8">
    <dataValidation allowBlank="true" error="Kies een waarde uit de lijst." errorStyle="stop" errorTitle="Ongeldige invoer" operator="between" showDropDown="false" showErrorMessage="false" showInputMessage="false" sqref="B5:B504" type="list">
      <formula1>Keuzelijsten!$A$5:$A$200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G5:G504" type="list">
      <formula1>Keuzelijsten!$B$5:$B$200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H5:H504" type="list">
      <formula1>Keuzelijsten!$Q$5:$Q$200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J5:J504" type="list">
      <formula1>Keuzelijsten!$C$5:$C$200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K5:K504" type="list">
      <formula1>Keuzelijsten!$D$5:$D$200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L5:L504" type="list">
      <formula1>Keuzelijsten!$E$5:$E$200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R5:R504" type="list">
      <formula1>Keuzelijsten!$Q$5:$Q$200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S5:S504" type="list">
      <formula1>Keuzelijsten!$P$5:$P$200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22.05" hidden="false" customHeight="false" outlineLevel="0" collapsed="false">
      <c r="A1" s="6" t="s">
        <v>233</v>
      </c>
    </row>
    <row r="2" customFormat="false" ht="15" hidden="false" customHeight="false" outlineLevel="0" collapsed="false">
      <c r="A2" s="7" t="s">
        <v>234</v>
      </c>
    </row>
    <row r="4" customFormat="false" ht="15" hidden="false" customHeight="false" outlineLevel="0" collapsed="false">
      <c r="A4" s="19" t="s">
        <v>235</v>
      </c>
      <c r="B4" s="20"/>
      <c r="C4" s="20"/>
      <c r="E4" s="21" t="s">
        <v>236</v>
      </c>
    </row>
    <row r="5" customFormat="false" ht="15" hidden="false" customHeight="false" outlineLevel="0" collapsed="false">
      <c r="A5" s="22" t="s">
        <v>237</v>
      </c>
      <c r="B5" s="23" t="n">
        <v>5000000</v>
      </c>
      <c r="C5" s="24" t="n">
        <v>0.05</v>
      </c>
    </row>
    <row r="6" customFormat="false" ht="15" hidden="false" customHeight="false" outlineLevel="0" collapsed="false">
      <c r="A6" s="22" t="s">
        <v>238</v>
      </c>
      <c r="B6" s="23" t="n">
        <v>15000000</v>
      </c>
      <c r="C6" s="24" t="n">
        <v>0.04</v>
      </c>
    </row>
    <row r="7" customFormat="false" ht="15" hidden="false" customHeight="false" outlineLevel="0" collapsed="false">
      <c r="A7" s="22" t="s">
        <v>239</v>
      </c>
      <c r="B7" s="23" t="n">
        <v>40000000</v>
      </c>
      <c r="C7" s="24" t="n">
        <v>0.03</v>
      </c>
    </row>
    <row r="8" customFormat="false" ht="15" hidden="false" customHeight="false" outlineLevel="0" collapsed="false">
      <c r="A8" s="22" t="s">
        <v>240</v>
      </c>
      <c r="C8" s="24" t="n">
        <v>0.02</v>
      </c>
    </row>
    <row r="9" customFormat="false" ht="15" hidden="false" customHeight="false" outlineLevel="0" collapsed="false">
      <c r="A9" s="22" t="s">
        <v>241</v>
      </c>
      <c r="B9" s="23" t="n">
        <v>100000</v>
      </c>
    </row>
    <row r="10" customFormat="false" ht="15" hidden="false" customHeight="false" outlineLevel="0" collapsed="false">
      <c r="A10" s="22" t="s">
        <v>242</v>
      </c>
      <c r="B10" s="23" t="n">
        <v>25000</v>
      </c>
    </row>
    <row r="11" customFormat="false" ht="15" hidden="false" customHeight="false" outlineLevel="0" collapsed="false">
      <c r="A11" s="19" t="s">
        <v>243</v>
      </c>
      <c r="B11" s="20"/>
      <c r="C11" s="20"/>
    </row>
    <row r="12" customFormat="false" ht="15" hidden="false" customHeight="false" outlineLevel="0" collapsed="false">
      <c r="A12" s="22" t="s">
        <v>244</v>
      </c>
      <c r="B12" s="24" t="n">
        <v>0.3</v>
      </c>
    </row>
    <row r="13" customFormat="false" ht="15" hidden="false" customHeight="false" outlineLevel="0" collapsed="false">
      <c r="A13" s="22" t="s">
        <v>245</v>
      </c>
      <c r="B13" s="24" t="n">
        <v>0.3</v>
      </c>
    </row>
    <row r="14" customFormat="false" ht="15" hidden="false" customHeight="false" outlineLevel="0" collapsed="false">
      <c r="A14" s="22" t="s">
        <v>246</v>
      </c>
      <c r="B14" s="24" t="n">
        <v>0.4</v>
      </c>
    </row>
    <row r="15" customFormat="false" ht="15" hidden="false" customHeight="false" outlineLevel="0" collapsed="false">
      <c r="A15" s="19" t="s">
        <v>247</v>
      </c>
      <c r="B15" s="20"/>
      <c r="C15" s="20"/>
    </row>
    <row r="16" customFormat="false" ht="15" hidden="false" customHeight="false" outlineLevel="0" collapsed="false">
      <c r="A16" s="22" t="s">
        <v>248</v>
      </c>
      <c r="B16" s="24" t="n">
        <v>0.2</v>
      </c>
    </row>
    <row r="17" customFormat="false" ht="15" hidden="false" customHeight="false" outlineLevel="0" collapsed="false">
      <c r="A17" s="22" t="s">
        <v>249</v>
      </c>
      <c r="B17" s="24" t="n">
        <v>0.4</v>
      </c>
    </row>
    <row r="18" customFormat="false" ht="15" hidden="false" customHeight="false" outlineLevel="0" collapsed="false">
      <c r="A18" s="22" t="s">
        <v>250</v>
      </c>
      <c r="B18" s="24" t="n">
        <v>0.65</v>
      </c>
    </row>
    <row r="19" customFormat="false" ht="15" hidden="false" customHeight="false" outlineLevel="0" collapsed="false">
      <c r="A19" s="22" t="s">
        <v>251</v>
      </c>
      <c r="B19" s="24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40"/>
  </cols>
  <sheetData>
    <row r="1" customFormat="false" ht="22.05" hidden="false" customHeight="false" outlineLevel="0" collapsed="false">
      <c r="A1" s="6" t="s">
        <v>8</v>
      </c>
    </row>
    <row r="2" customFormat="false" ht="25.5" hidden="false" customHeight="true" outlineLevel="0" collapsed="false">
      <c r="A2" s="7" t="s">
        <v>252</v>
      </c>
    </row>
    <row r="4" customFormat="false" ht="31.5" hidden="false" customHeight="true" outlineLevel="0" collapsed="false">
      <c r="A4" s="9" t="s">
        <v>253</v>
      </c>
      <c r="B4" s="9" t="s">
        <v>192</v>
      </c>
      <c r="C4" s="9" t="s">
        <v>254</v>
      </c>
      <c r="D4" s="9" t="s">
        <v>194</v>
      </c>
      <c r="E4" s="9" t="s">
        <v>255</v>
      </c>
      <c r="F4" s="9" t="s">
        <v>256</v>
      </c>
      <c r="G4" s="9" t="s">
        <v>257</v>
      </c>
      <c r="H4" s="9" t="s">
        <v>258</v>
      </c>
      <c r="I4" s="9" t="s">
        <v>259</v>
      </c>
      <c r="J4" s="9" t="s">
        <v>260</v>
      </c>
      <c r="K4" s="9" t="s">
        <v>213</v>
      </c>
    </row>
    <row r="5" customFormat="false" ht="15" hidden="false" customHeight="false" outlineLevel="0" collapsed="false">
      <c r="A5" s="10" t="s">
        <v>261</v>
      </c>
      <c r="B5" s="10" t="s">
        <v>215</v>
      </c>
      <c r="C5" s="10" t="s">
        <v>262</v>
      </c>
      <c r="D5" s="10" t="s">
        <v>216</v>
      </c>
      <c r="E5" s="10"/>
      <c r="F5" s="10" t="s">
        <v>81</v>
      </c>
      <c r="G5" s="10"/>
      <c r="H5" s="10"/>
      <c r="I5" s="10" t="s">
        <v>83</v>
      </c>
      <c r="J5" s="11" t="s">
        <v>263</v>
      </c>
      <c r="K5" s="14" t="s">
        <v>264</v>
      </c>
    </row>
    <row r="6" customFormat="false" ht="15" hidden="false" customHeight="false" outlineLevel="0" collapsed="false">
      <c r="A6" s="10" t="s">
        <v>265</v>
      </c>
      <c r="B6" s="10" t="s">
        <v>215</v>
      </c>
      <c r="C6" s="10" t="s">
        <v>266</v>
      </c>
      <c r="D6" s="10" t="s">
        <v>216</v>
      </c>
      <c r="E6" s="10"/>
      <c r="F6" s="10" t="s">
        <v>113</v>
      </c>
      <c r="G6" s="10"/>
      <c r="H6" s="10"/>
      <c r="I6" s="10" t="s">
        <v>83</v>
      </c>
      <c r="J6" s="11" t="s">
        <v>263</v>
      </c>
      <c r="K6" s="14"/>
    </row>
    <row r="7" customFormat="false" ht="15" hidden="false" customHeight="false" outlineLevel="0" collapsed="false">
      <c r="J7" s="15"/>
    </row>
    <row r="8" customFormat="false" ht="15" hidden="false" customHeight="false" outlineLevel="0" collapsed="false">
      <c r="J8" s="15"/>
    </row>
    <row r="9" customFormat="false" ht="15" hidden="false" customHeight="false" outlineLevel="0" collapsed="false">
      <c r="J9" s="15"/>
    </row>
    <row r="10" customFormat="false" ht="15" hidden="false" customHeight="false" outlineLevel="0" collapsed="false">
      <c r="J10" s="15"/>
    </row>
    <row r="11" customFormat="false" ht="15" hidden="false" customHeight="false" outlineLevel="0" collapsed="false">
      <c r="J11" s="15"/>
    </row>
    <row r="12" customFormat="false" ht="15" hidden="false" customHeight="false" outlineLevel="0" collapsed="false">
      <c r="J12" s="15"/>
    </row>
    <row r="13" customFormat="false" ht="15" hidden="false" customHeight="false" outlineLevel="0" collapsed="false">
      <c r="J13" s="15"/>
    </row>
    <row r="14" customFormat="false" ht="15" hidden="false" customHeight="false" outlineLevel="0" collapsed="false">
      <c r="J14" s="15"/>
    </row>
    <row r="15" customFormat="false" ht="15" hidden="false" customHeight="false" outlineLevel="0" collapsed="false">
      <c r="J15" s="15"/>
    </row>
    <row r="16" customFormat="false" ht="15" hidden="false" customHeight="false" outlineLevel="0" collapsed="false">
      <c r="J16" s="15"/>
    </row>
    <row r="17" customFormat="false" ht="15" hidden="false" customHeight="false" outlineLevel="0" collapsed="false">
      <c r="J17" s="15"/>
    </row>
    <row r="18" customFormat="false" ht="15" hidden="false" customHeight="false" outlineLevel="0" collapsed="false">
      <c r="J18" s="15"/>
    </row>
    <row r="19" customFormat="false" ht="15" hidden="false" customHeight="false" outlineLevel="0" collapsed="false">
      <c r="J19" s="15"/>
    </row>
    <row r="20" customFormat="false" ht="15" hidden="false" customHeight="false" outlineLevel="0" collapsed="false">
      <c r="J20" s="15"/>
    </row>
    <row r="21" customFormat="false" ht="15" hidden="false" customHeight="false" outlineLevel="0" collapsed="false">
      <c r="J21" s="15"/>
    </row>
    <row r="22" customFormat="false" ht="15" hidden="false" customHeight="false" outlineLevel="0" collapsed="false">
      <c r="J22" s="15"/>
    </row>
    <row r="23" customFormat="false" ht="15" hidden="false" customHeight="false" outlineLevel="0" collapsed="false">
      <c r="J23" s="15"/>
    </row>
    <row r="24" customFormat="false" ht="15" hidden="false" customHeight="false" outlineLevel="0" collapsed="false">
      <c r="J24" s="15"/>
    </row>
    <row r="25" customFormat="false" ht="15" hidden="false" customHeight="false" outlineLevel="0" collapsed="false">
      <c r="J25" s="15"/>
    </row>
    <row r="26" customFormat="false" ht="15" hidden="false" customHeight="false" outlineLevel="0" collapsed="false">
      <c r="J26" s="15"/>
    </row>
    <row r="27" customFormat="false" ht="15" hidden="false" customHeight="false" outlineLevel="0" collapsed="false">
      <c r="J27" s="15"/>
    </row>
    <row r="28" customFormat="false" ht="15" hidden="false" customHeight="false" outlineLevel="0" collapsed="false">
      <c r="J28" s="15"/>
    </row>
    <row r="29" customFormat="false" ht="15" hidden="false" customHeight="false" outlineLevel="0" collapsed="false">
      <c r="J29" s="15"/>
    </row>
    <row r="30" customFormat="false" ht="15" hidden="false" customHeight="false" outlineLevel="0" collapsed="false">
      <c r="J30" s="15"/>
    </row>
    <row r="31" customFormat="false" ht="15" hidden="false" customHeight="false" outlineLevel="0" collapsed="false">
      <c r="J31" s="15"/>
    </row>
    <row r="32" customFormat="false" ht="15" hidden="false" customHeight="false" outlineLevel="0" collapsed="false">
      <c r="J32" s="15"/>
    </row>
    <row r="33" customFormat="false" ht="15" hidden="false" customHeight="false" outlineLevel="0" collapsed="false">
      <c r="J33" s="15"/>
    </row>
    <row r="34" customFormat="false" ht="15" hidden="false" customHeight="false" outlineLevel="0" collapsed="false">
      <c r="J34" s="15"/>
    </row>
    <row r="35" customFormat="false" ht="15" hidden="false" customHeight="false" outlineLevel="0" collapsed="false">
      <c r="J35" s="15"/>
    </row>
    <row r="36" customFormat="false" ht="15" hidden="false" customHeight="false" outlineLevel="0" collapsed="false">
      <c r="J36" s="15"/>
    </row>
    <row r="37" customFormat="false" ht="15" hidden="false" customHeight="false" outlineLevel="0" collapsed="false">
      <c r="J37" s="15"/>
    </row>
    <row r="38" customFormat="false" ht="15" hidden="false" customHeight="false" outlineLevel="0" collapsed="false">
      <c r="J38" s="15"/>
    </row>
    <row r="39" customFormat="false" ht="15" hidden="false" customHeight="false" outlineLevel="0" collapsed="false">
      <c r="J39" s="15"/>
    </row>
    <row r="40" customFormat="false" ht="15" hidden="false" customHeight="false" outlineLevel="0" collapsed="false">
      <c r="J40" s="15"/>
    </row>
    <row r="41" customFormat="false" ht="15" hidden="false" customHeight="false" outlineLevel="0" collapsed="false">
      <c r="J41" s="15"/>
    </row>
    <row r="42" customFormat="false" ht="15" hidden="false" customHeight="false" outlineLevel="0" collapsed="false">
      <c r="J42" s="15"/>
    </row>
    <row r="43" customFormat="false" ht="15" hidden="false" customHeight="false" outlineLevel="0" collapsed="false">
      <c r="J43" s="15"/>
    </row>
    <row r="44" customFormat="false" ht="15" hidden="false" customHeight="false" outlineLevel="0" collapsed="false">
      <c r="J44" s="15"/>
    </row>
    <row r="45" customFormat="false" ht="15" hidden="false" customHeight="false" outlineLevel="0" collapsed="false">
      <c r="J45" s="15"/>
    </row>
    <row r="46" customFormat="false" ht="15" hidden="false" customHeight="false" outlineLevel="0" collapsed="false">
      <c r="J46" s="15"/>
    </row>
    <row r="47" customFormat="false" ht="15" hidden="false" customHeight="false" outlineLevel="0" collapsed="false">
      <c r="J47" s="15"/>
    </row>
    <row r="48" customFormat="false" ht="15" hidden="false" customHeight="false" outlineLevel="0" collapsed="false">
      <c r="J48" s="15"/>
    </row>
    <row r="49" customFormat="false" ht="15" hidden="false" customHeight="false" outlineLevel="0" collapsed="false">
      <c r="J49" s="15"/>
    </row>
    <row r="50" customFormat="false" ht="15" hidden="false" customHeight="false" outlineLevel="0" collapsed="false">
      <c r="J50" s="15"/>
    </row>
    <row r="51" customFormat="false" ht="15" hidden="false" customHeight="false" outlineLevel="0" collapsed="false">
      <c r="J51" s="15"/>
    </row>
    <row r="52" customFormat="false" ht="15" hidden="false" customHeight="false" outlineLevel="0" collapsed="false">
      <c r="J52" s="15"/>
    </row>
    <row r="53" customFormat="false" ht="15" hidden="false" customHeight="false" outlineLevel="0" collapsed="false">
      <c r="J53" s="15"/>
    </row>
    <row r="54" customFormat="false" ht="15" hidden="false" customHeight="false" outlineLevel="0" collapsed="false">
      <c r="J54" s="15"/>
    </row>
    <row r="55" customFormat="false" ht="15" hidden="false" customHeight="false" outlineLevel="0" collapsed="false">
      <c r="J55" s="15"/>
    </row>
    <row r="56" customFormat="false" ht="15" hidden="false" customHeight="false" outlineLevel="0" collapsed="false">
      <c r="J56" s="15"/>
    </row>
    <row r="57" customFormat="false" ht="15" hidden="false" customHeight="false" outlineLevel="0" collapsed="false">
      <c r="J57" s="15"/>
    </row>
    <row r="58" customFormat="false" ht="15" hidden="false" customHeight="false" outlineLevel="0" collapsed="false">
      <c r="J58" s="15"/>
    </row>
    <row r="59" customFormat="false" ht="15" hidden="false" customHeight="false" outlineLevel="0" collapsed="false">
      <c r="J59" s="15"/>
    </row>
    <row r="60" customFormat="false" ht="15" hidden="false" customHeight="false" outlineLevel="0" collapsed="false">
      <c r="J60" s="15"/>
    </row>
    <row r="61" customFormat="false" ht="15" hidden="false" customHeight="false" outlineLevel="0" collapsed="false">
      <c r="J61" s="15"/>
    </row>
    <row r="62" customFormat="false" ht="15" hidden="false" customHeight="false" outlineLevel="0" collapsed="false">
      <c r="J62" s="15"/>
    </row>
    <row r="63" customFormat="false" ht="15" hidden="false" customHeight="false" outlineLevel="0" collapsed="false">
      <c r="J63" s="15"/>
    </row>
    <row r="64" customFormat="false" ht="15" hidden="false" customHeight="false" outlineLevel="0" collapsed="false">
      <c r="J64" s="15"/>
    </row>
    <row r="65" customFormat="false" ht="15" hidden="false" customHeight="false" outlineLevel="0" collapsed="false">
      <c r="J65" s="15"/>
    </row>
    <row r="66" customFormat="false" ht="15" hidden="false" customHeight="false" outlineLevel="0" collapsed="false">
      <c r="J66" s="15"/>
    </row>
    <row r="67" customFormat="false" ht="15" hidden="false" customHeight="false" outlineLevel="0" collapsed="false">
      <c r="J67" s="15"/>
    </row>
    <row r="68" customFormat="false" ht="15" hidden="false" customHeight="false" outlineLevel="0" collapsed="false">
      <c r="J68" s="15"/>
    </row>
    <row r="69" customFormat="false" ht="15" hidden="false" customHeight="false" outlineLevel="0" collapsed="false">
      <c r="J69" s="15"/>
    </row>
    <row r="70" customFormat="false" ht="15" hidden="false" customHeight="false" outlineLevel="0" collapsed="false">
      <c r="J70" s="15"/>
    </row>
    <row r="71" customFormat="false" ht="15" hidden="false" customHeight="false" outlineLevel="0" collapsed="false">
      <c r="J71" s="15"/>
    </row>
    <row r="72" customFormat="false" ht="15" hidden="false" customHeight="false" outlineLevel="0" collapsed="false">
      <c r="J72" s="15"/>
    </row>
    <row r="73" customFormat="false" ht="15" hidden="false" customHeight="false" outlineLevel="0" collapsed="false">
      <c r="J73" s="15"/>
    </row>
    <row r="74" customFormat="false" ht="15" hidden="false" customHeight="false" outlineLevel="0" collapsed="false">
      <c r="J74" s="15"/>
    </row>
    <row r="75" customFormat="false" ht="15" hidden="false" customHeight="false" outlineLevel="0" collapsed="false">
      <c r="J75" s="15"/>
    </row>
    <row r="76" customFormat="false" ht="15" hidden="false" customHeight="false" outlineLevel="0" collapsed="false">
      <c r="J76" s="15"/>
    </row>
    <row r="77" customFormat="false" ht="15" hidden="false" customHeight="false" outlineLevel="0" collapsed="false">
      <c r="J77" s="15"/>
    </row>
    <row r="78" customFormat="false" ht="15" hidden="false" customHeight="false" outlineLevel="0" collapsed="false">
      <c r="J78" s="15"/>
    </row>
    <row r="79" customFormat="false" ht="15" hidden="false" customHeight="false" outlineLevel="0" collapsed="false">
      <c r="J79" s="15"/>
    </row>
    <row r="80" customFormat="false" ht="15" hidden="false" customHeight="false" outlineLevel="0" collapsed="false">
      <c r="J80" s="15"/>
    </row>
    <row r="81" customFormat="false" ht="15" hidden="false" customHeight="false" outlineLevel="0" collapsed="false">
      <c r="J81" s="15"/>
    </row>
    <row r="82" customFormat="false" ht="15" hidden="false" customHeight="false" outlineLevel="0" collapsed="false">
      <c r="J82" s="15"/>
    </row>
    <row r="83" customFormat="false" ht="15" hidden="false" customHeight="false" outlineLevel="0" collapsed="false">
      <c r="J83" s="15"/>
    </row>
    <row r="84" customFormat="false" ht="15" hidden="false" customHeight="false" outlineLevel="0" collapsed="false">
      <c r="J84" s="15"/>
    </row>
    <row r="85" customFormat="false" ht="15" hidden="false" customHeight="false" outlineLevel="0" collapsed="false">
      <c r="J85" s="15"/>
    </row>
    <row r="86" customFormat="false" ht="15" hidden="false" customHeight="false" outlineLevel="0" collapsed="false">
      <c r="J86" s="15"/>
    </row>
    <row r="87" customFormat="false" ht="15" hidden="false" customHeight="false" outlineLevel="0" collapsed="false">
      <c r="J87" s="15"/>
    </row>
    <row r="88" customFormat="false" ht="15" hidden="false" customHeight="false" outlineLevel="0" collapsed="false">
      <c r="J88" s="15"/>
    </row>
    <row r="89" customFormat="false" ht="15" hidden="false" customHeight="false" outlineLevel="0" collapsed="false">
      <c r="J89" s="15"/>
    </row>
    <row r="90" customFormat="false" ht="15" hidden="false" customHeight="false" outlineLevel="0" collapsed="false">
      <c r="J90" s="15"/>
    </row>
    <row r="91" customFormat="false" ht="15" hidden="false" customHeight="false" outlineLevel="0" collapsed="false">
      <c r="J91" s="15"/>
    </row>
    <row r="92" customFormat="false" ht="15" hidden="false" customHeight="false" outlineLevel="0" collapsed="false">
      <c r="J92" s="15"/>
    </row>
    <row r="93" customFormat="false" ht="15" hidden="false" customHeight="false" outlineLevel="0" collapsed="false">
      <c r="J93" s="15"/>
    </row>
    <row r="94" customFormat="false" ht="15" hidden="false" customHeight="false" outlineLevel="0" collapsed="false">
      <c r="J94" s="15"/>
    </row>
    <row r="95" customFormat="false" ht="15" hidden="false" customHeight="false" outlineLevel="0" collapsed="false">
      <c r="J95" s="15"/>
    </row>
    <row r="96" customFormat="false" ht="15" hidden="false" customHeight="false" outlineLevel="0" collapsed="false">
      <c r="J96" s="15"/>
    </row>
    <row r="97" customFormat="false" ht="15" hidden="false" customHeight="false" outlineLevel="0" collapsed="false">
      <c r="J97" s="15"/>
    </row>
    <row r="98" customFormat="false" ht="15" hidden="false" customHeight="false" outlineLevel="0" collapsed="false">
      <c r="J98" s="15"/>
    </row>
    <row r="99" customFormat="false" ht="15" hidden="false" customHeight="false" outlineLevel="0" collapsed="false">
      <c r="J99" s="15"/>
    </row>
    <row r="100" customFormat="false" ht="15" hidden="false" customHeight="false" outlineLevel="0" collapsed="false">
      <c r="J100" s="15"/>
    </row>
    <row r="101" customFormat="false" ht="15" hidden="false" customHeight="false" outlineLevel="0" collapsed="false">
      <c r="J101" s="15"/>
    </row>
    <row r="102" customFormat="false" ht="15" hidden="false" customHeight="false" outlineLevel="0" collapsed="false">
      <c r="J102" s="15"/>
    </row>
    <row r="103" customFormat="false" ht="15" hidden="false" customHeight="false" outlineLevel="0" collapsed="false">
      <c r="J103" s="15"/>
    </row>
    <row r="104" customFormat="false" ht="15" hidden="false" customHeight="false" outlineLevel="0" collapsed="false">
      <c r="J104" s="15"/>
    </row>
    <row r="105" customFormat="false" ht="15" hidden="false" customHeight="false" outlineLevel="0" collapsed="false">
      <c r="J105" s="15"/>
    </row>
    <row r="106" customFormat="false" ht="15" hidden="false" customHeight="false" outlineLevel="0" collapsed="false">
      <c r="J106" s="15"/>
    </row>
    <row r="107" customFormat="false" ht="15" hidden="false" customHeight="false" outlineLevel="0" collapsed="false">
      <c r="J107" s="15"/>
    </row>
    <row r="108" customFormat="false" ht="15" hidden="false" customHeight="false" outlineLevel="0" collapsed="false">
      <c r="J108" s="15"/>
    </row>
    <row r="109" customFormat="false" ht="15" hidden="false" customHeight="false" outlineLevel="0" collapsed="false">
      <c r="J109" s="15"/>
    </row>
    <row r="110" customFormat="false" ht="15" hidden="false" customHeight="false" outlineLevel="0" collapsed="false">
      <c r="J110" s="15"/>
    </row>
    <row r="111" customFormat="false" ht="15" hidden="false" customHeight="false" outlineLevel="0" collapsed="false">
      <c r="J111" s="15"/>
    </row>
    <row r="112" customFormat="false" ht="15" hidden="false" customHeight="false" outlineLevel="0" collapsed="false">
      <c r="J112" s="15"/>
    </row>
    <row r="113" customFormat="false" ht="15" hidden="false" customHeight="false" outlineLevel="0" collapsed="false">
      <c r="J113" s="15"/>
    </row>
    <row r="114" customFormat="false" ht="15" hidden="false" customHeight="false" outlineLevel="0" collapsed="false">
      <c r="J114" s="15"/>
    </row>
    <row r="115" customFormat="false" ht="15" hidden="false" customHeight="false" outlineLevel="0" collapsed="false">
      <c r="J115" s="15"/>
    </row>
    <row r="116" customFormat="false" ht="15" hidden="false" customHeight="false" outlineLevel="0" collapsed="false">
      <c r="J116" s="15"/>
    </row>
    <row r="117" customFormat="false" ht="15" hidden="false" customHeight="false" outlineLevel="0" collapsed="false">
      <c r="J117" s="15"/>
    </row>
    <row r="118" customFormat="false" ht="15" hidden="false" customHeight="false" outlineLevel="0" collapsed="false">
      <c r="J118" s="15"/>
    </row>
    <row r="119" customFormat="false" ht="15" hidden="false" customHeight="false" outlineLevel="0" collapsed="false">
      <c r="J119" s="15"/>
    </row>
    <row r="120" customFormat="false" ht="15" hidden="false" customHeight="false" outlineLevel="0" collapsed="false">
      <c r="J120" s="15"/>
    </row>
    <row r="121" customFormat="false" ht="15" hidden="false" customHeight="false" outlineLevel="0" collapsed="false">
      <c r="J121" s="15"/>
    </row>
    <row r="122" customFormat="false" ht="15" hidden="false" customHeight="false" outlineLevel="0" collapsed="false">
      <c r="J122" s="15"/>
    </row>
    <row r="123" customFormat="false" ht="15" hidden="false" customHeight="false" outlineLevel="0" collapsed="false">
      <c r="J123" s="15"/>
    </row>
    <row r="124" customFormat="false" ht="15" hidden="false" customHeight="false" outlineLevel="0" collapsed="false">
      <c r="J124" s="15"/>
    </row>
    <row r="125" customFormat="false" ht="15" hidden="false" customHeight="false" outlineLevel="0" collapsed="false">
      <c r="J125" s="15"/>
    </row>
    <row r="126" customFormat="false" ht="15" hidden="false" customHeight="false" outlineLevel="0" collapsed="false">
      <c r="J126" s="15"/>
    </row>
    <row r="127" customFormat="false" ht="15" hidden="false" customHeight="false" outlineLevel="0" collapsed="false">
      <c r="J127" s="15"/>
    </row>
    <row r="128" customFormat="false" ht="15" hidden="false" customHeight="false" outlineLevel="0" collapsed="false">
      <c r="J128" s="15"/>
    </row>
    <row r="129" customFormat="false" ht="15" hidden="false" customHeight="false" outlineLevel="0" collapsed="false">
      <c r="J129" s="15"/>
    </row>
    <row r="130" customFormat="false" ht="15" hidden="false" customHeight="false" outlineLevel="0" collapsed="false">
      <c r="J130" s="15"/>
    </row>
    <row r="131" customFormat="false" ht="15" hidden="false" customHeight="false" outlineLevel="0" collapsed="false">
      <c r="J131" s="15"/>
    </row>
    <row r="132" customFormat="false" ht="15" hidden="false" customHeight="false" outlineLevel="0" collapsed="false">
      <c r="J132" s="15"/>
    </row>
    <row r="133" customFormat="false" ht="15" hidden="false" customHeight="false" outlineLevel="0" collapsed="false">
      <c r="J133" s="15"/>
    </row>
    <row r="134" customFormat="false" ht="15" hidden="false" customHeight="false" outlineLevel="0" collapsed="false">
      <c r="J134" s="15"/>
    </row>
    <row r="135" customFormat="false" ht="15" hidden="false" customHeight="false" outlineLevel="0" collapsed="false">
      <c r="J135" s="15"/>
    </row>
    <row r="136" customFormat="false" ht="15" hidden="false" customHeight="false" outlineLevel="0" collapsed="false">
      <c r="J136" s="15"/>
    </row>
    <row r="137" customFormat="false" ht="15" hidden="false" customHeight="false" outlineLevel="0" collapsed="false">
      <c r="J137" s="15"/>
    </row>
    <row r="138" customFormat="false" ht="15" hidden="false" customHeight="false" outlineLevel="0" collapsed="false">
      <c r="J138" s="15"/>
    </row>
    <row r="139" customFormat="false" ht="15" hidden="false" customHeight="false" outlineLevel="0" collapsed="false">
      <c r="J139" s="15"/>
    </row>
    <row r="140" customFormat="false" ht="15" hidden="false" customHeight="false" outlineLevel="0" collapsed="false">
      <c r="J140" s="15"/>
    </row>
    <row r="141" customFormat="false" ht="15" hidden="false" customHeight="false" outlineLevel="0" collapsed="false">
      <c r="J141" s="15"/>
    </row>
    <row r="142" customFormat="false" ht="15" hidden="false" customHeight="false" outlineLevel="0" collapsed="false">
      <c r="J142" s="15"/>
    </row>
    <row r="143" customFormat="false" ht="15" hidden="false" customHeight="false" outlineLevel="0" collapsed="false">
      <c r="J143" s="15"/>
    </row>
    <row r="144" customFormat="false" ht="15" hidden="false" customHeight="false" outlineLevel="0" collapsed="false">
      <c r="J144" s="15"/>
    </row>
    <row r="145" customFormat="false" ht="15" hidden="false" customHeight="false" outlineLevel="0" collapsed="false">
      <c r="J145" s="15"/>
    </row>
    <row r="146" customFormat="false" ht="15" hidden="false" customHeight="false" outlineLevel="0" collapsed="false">
      <c r="J146" s="15"/>
    </row>
    <row r="147" customFormat="false" ht="15" hidden="false" customHeight="false" outlineLevel="0" collapsed="false">
      <c r="J147" s="15"/>
    </row>
    <row r="148" customFormat="false" ht="15" hidden="false" customHeight="false" outlineLevel="0" collapsed="false">
      <c r="J148" s="15"/>
    </row>
    <row r="149" customFormat="false" ht="15" hidden="false" customHeight="false" outlineLevel="0" collapsed="false">
      <c r="J149" s="15"/>
    </row>
    <row r="150" customFormat="false" ht="15" hidden="false" customHeight="false" outlineLevel="0" collapsed="false">
      <c r="J150" s="15"/>
    </row>
    <row r="151" customFormat="false" ht="15" hidden="false" customHeight="false" outlineLevel="0" collapsed="false">
      <c r="J151" s="15"/>
    </row>
    <row r="152" customFormat="false" ht="15" hidden="false" customHeight="false" outlineLevel="0" collapsed="false">
      <c r="J152" s="15"/>
    </row>
    <row r="153" customFormat="false" ht="15" hidden="false" customHeight="false" outlineLevel="0" collapsed="false">
      <c r="J153" s="15"/>
    </row>
    <row r="154" customFormat="false" ht="15" hidden="false" customHeight="false" outlineLevel="0" collapsed="false">
      <c r="J154" s="15"/>
    </row>
    <row r="155" customFormat="false" ht="15" hidden="false" customHeight="false" outlineLevel="0" collapsed="false">
      <c r="J155" s="15"/>
    </row>
    <row r="156" customFormat="false" ht="15" hidden="false" customHeight="false" outlineLevel="0" collapsed="false">
      <c r="J156" s="15"/>
    </row>
    <row r="157" customFormat="false" ht="15" hidden="false" customHeight="false" outlineLevel="0" collapsed="false">
      <c r="J157" s="15"/>
    </row>
    <row r="158" customFormat="false" ht="15" hidden="false" customHeight="false" outlineLevel="0" collapsed="false">
      <c r="J158" s="15"/>
    </row>
    <row r="159" customFormat="false" ht="15" hidden="false" customHeight="false" outlineLevel="0" collapsed="false">
      <c r="J159" s="15"/>
    </row>
    <row r="160" customFormat="false" ht="15" hidden="false" customHeight="false" outlineLevel="0" collapsed="false">
      <c r="J160" s="15"/>
    </row>
    <row r="161" customFormat="false" ht="15" hidden="false" customHeight="false" outlineLevel="0" collapsed="false">
      <c r="J161" s="15"/>
    </row>
    <row r="162" customFormat="false" ht="15" hidden="false" customHeight="false" outlineLevel="0" collapsed="false">
      <c r="J162" s="15"/>
    </row>
    <row r="163" customFormat="false" ht="15" hidden="false" customHeight="false" outlineLevel="0" collapsed="false">
      <c r="J163" s="15"/>
    </row>
    <row r="164" customFormat="false" ht="15" hidden="false" customHeight="false" outlineLevel="0" collapsed="false">
      <c r="J164" s="15"/>
    </row>
    <row r="165" customFormat="false" ht="15" hidden="false" customHeight="false" outlineLevel="0" collapsed="false">
      <c r="J165" s="15"/>
    </row>
    <row r="166" customFormat="false" ht="15" hidden="false" customHeight="false" outlineLevel="0" collapsed="false">
      <c r="J166" s="15"/>
    </row>
    <row r="167" customFormat="false" ht="15" hidden="false" customHeight="false" outlineLevel="0" collapsed="false">
      <c r="J167" s="15"/>
    </row>
    <row r="168" customFormat="false" ht="15" hidden="false" customHeight="false" outlineLevel="0" collapsed="false">
      <c r="J168" s="15"/>
    </row>
    <row r="169" customFormat="false" ht="15" hidden="false" customHeight="false" outlineLevel="0" collapsed="false">
      <c r="J169" s="15"/>
    </row>
    <row r="170" customFormat="false" ht="15" hidden="false" customHeight="false" outlineLevel="0" collapsed="false">
      <c r="J170" s="15"/>
    </row>
    <row r="171" customFormat="false" ht="15" hidden="false" customHeight="false" outlineLevel="0" collapsed="false">
      <c r="J171" s="15"/>
    </row>
    <row r="172" customFormat="false" ht="15" hidden="false" customHeight="false" outlineLevel="0" collapsed="false">
      <c r="J172" s="15"/>
    </row>
    <row r="173" customFormat="false" ht="15" hidden="false" customHeight="false" outlineLevel="0" collapsed="false">
      <c r="J173" s="15"/>
    </row>
    <row r="174" customFormat="false" ht="15" hidden="false" customHeight="false" outlineLevel="0" collapsed="false">
      <c r="J174" s="15"/>
    </row>
    <row r="175" customFormat="false" ht="15" hidden="false" customHeight="false" outlineLevel="0" collapsed="false">
      <c r="J175" s="15"/>
    </row>
    <row r="176" customFormat="false" ht="15" hidden="false" customHeight="false" outlineLevel="0" collapsed="false">
      <c r="J176" s="15"/>
    </row>
    <row r="177" customFormat="false" ht="15" hidden="false" customHeight="false" outlineLevel="0" collapsed="false">
      <c r="J177" s="15"/>
    </row>
    <row r="178" customFormat="false" ht="15" hidden="false" customHeight="false" outlineLevel="0" collapsed="false">
      <c r="J178" s="15"/>
    </row>
    <row r="179" customFormat="false" ht="15" hidden="false" customHeight="false" outlineLevel="0" collapsed="false">
      <c r="J179" s="15"/>
    </row>
    <row r="180" customFormat="false" ht="15" hidden="false" customHeight="false" outlineLevel="0" collapsed="false">
      <c r="J180" s="15"/>
    </row>
    <row r="181" customFormat="false" ht="15" hidden="false" customHeight="false" outlineLevel="0" collapsed="false">
      <c r="J181" s="15"/>
    </row>
    <row r="182" customFormat="false" ht="15" hidden="false" customHeight="false" outlineLevel="0" collapsed="false">
      <c r="J182" s="15"/>
    </row>
    <row r="183" customFormat="false" ht="15" hidden="false" customHeight="false" outlineLevel="0" collapsed="false">
      <c r="J183" s="15"/>
    </row>
    <row r="184" customFormat="false" ht="15" hidden="false" customHeight="false" outlineLevel="0" collapsed="false">
      <c r="J184" s="15"/>
    </row>
    <row r="185" customFormat="false" ht="15" hidden="false" customHeight="false" outlineLevel="0" collapsed="false">
      <c r="J185" s="15"/>
    </row>
    <row r="186" customFormat="false" ht="15" hidden="false" customHeight="false" outlineLevel="0" collapsed="false">
      <c r="J186" s="15"/>
    </row>
    <row r="187" customFormat="false" ht="15" hidden="false" customHeight="false" outlineLevel="0" collapsed="false">
      <c r="J187" s="15"/>
    </row>
    <row r="188" customFormat="false" ht="15" hidden="false" customHeight="false" outlineLevel="0" collapsed="false">
      <c r="J188" s="15"/>
    </row>
    <row r="189" customFormat="false" ht="15" hidden="false" customHeight="false" outlineLevel="0" collapsed="false">
      <c r="J189" s="15"/>
    </row>
    <row r="190" customFormat="false" ht="15" hidden="false" customHeight="false" outlineLevel="0" collapsed="false">
      <c r="J190" s="15"/>
    </row>
    <row r="191" customFormat="false" ht="15" hidden="false" customHeight="false" outlineLevel="0" collapsed="false">
      <c r="J191" s="15"/>
    </row>
    <row r="192" customFormat="false" ht="15" hidden="false" customHeight="false" outlineLevel="0" collapsed="false">
      <c r="J192" s="15"/>
    </row>
    <row r="193" customFormat="false" ht="15" hidden="false" customHeight="false" outlineLevel="0" collapsed="false">
      <c r="J193" s="15"/>
    </row>
    <row r="194" customFormat="false" ht="15" hidden="false" customHeight="false" outlineLevel="0" collapsed="false">
      <c r="J194" s="15"/>
    </row>
    <row r="195" customFormat="false" ht="15" hidden="false" customHeight="false" outlineLevel="0" collapsed="false">
      <c r="J195" s="15"/>
    </row>
    <row r="196" customFormat="false" ht="15" hidden="false" customHeight="false" outlineLevel="0" collapsed="false">
      <c r="J196" s="15"/>
    </row>
    <row r="197" customFormat="false" ht="15" hidden="false" customHeight="false" outlineLevel="0" collapsed="false">
      <c r="J197" s="15"/>
    </row>
    <row r="198" customFormat="false" ht="15" hidden="false" customHeight="false" outlineLevel="0" collapsed="false">
      <c r="J198" s="15"/>
    </row>
    <row r="199" customFormat="false" ht="15" hidden="false" customHeight="false" outlineLevel="0" collapsed="false">
      <c r="J199" s="15"/>
    </row>
    <row r="200" customFormat="false" ht="15" hidden="false" customHeight="false" outlineLevel="0" collapsed="false">
      <c r="J200" s="15"/>
    </row>
    <row r="201" customFormat="false" ht="15" hidden="false" customHeight="false" outlineLevel="0" collapsed="false">
      <c r="J201" s="15"/>
    </row>
    <row r="202" customFormat="false" ht="15" hidden="false" customHeight="false" outlineLevel="0" collapsed="false">
      <c r="J202" s="15"/>
    </row>
    <row r="203" customFormat="false" ht="15" hidden="false" customHeight="false" outlineLevel="0" collapsed="false">
      <c r="J203" s="15"/>
    </row>
    <row r="204" customFormat="false" ht="15" hidden="false" customHeight="false" outlineLevel="0" collapsed="false">
      <c r="J204" s="15"/>
    </row>
    <row r="205" customFormat="false" ht="15" hidden="false" customHeight="false" outlineLevel="0" collapsed="false">
      <c r="J205" s="15"/>
    </row>
    <row r="206" customFormat="false" ht="15" hidden="false" customHeight="false" outlineLevel="0" collapsed="false">
      <c r="J206" s="15"/>
    </row>
    <row r="207" customFormat="false" ht="15" hidden="false" customHeight="false" outlineLevel="0" collapsed="false">
      <c r="J207" s="15"/>
    </row>
    <row r="208" customFormat="false" ht="15" hidden="false" customHeight="false" outlineLevel="0" collapsed="false">
      <c r="J208" s="15"/>
    </row>
    <row r="209" customFormat="false" ht="15" hidden="false" customHeight="false" outlineLevel="0" collapsed="false">
      <c r="J209" s="15"/>
    </row>
    <row r="210" customFormat="false" ht="15" hidden="false" customHeight="false" outlineLevel="0" collapsed="false">
      <c r="J210" s="15"/>
    </row>
    <row r="211" customFormat="false" ht="15" hidden="false" customHeight="false" outlineLevel="0" collapsed="false">
      <c r="J211" s="15"/>
    </row>
    <row r="212" customFormat="false" ht="15" hidden="false" customHeight="false" outlineLevel="0" collapsed="false">
      <c r="J212" s="15"/>
    </row>
    <row r="213" customFormat="false" ht="15" hidden="false" customHeight="false" outlineLevel="0" collapsed="false">
      <c r="J213" s="15"/>
    </row>
    <row r="214" customFormat="false" ht="15" hidden="false" customHeight="false" outlineLevel="0" collapsed="false">
      <c r="J214" s="15"/>
    </row>
    <row r="215" customFormat="false" ht="15" hidden="false" customHeight="false" outlineLevel="0" collapsed="false">
      <c r="J215" s="15"/>
    </row>
    <row r="216" customFormat="false" ht="15" hidden="false" customHeight="false" outlineLevel="0" collapsed="false">
      <c r="J216" s="15"/>
    </row>
    <row r="217" customFormat="false" ht="15" hidden="false" customHeight="false" outlineLevel="0" collapsed="false">
      <c r="J217" s="15"/>
    </row>
    <row r="218" customFormat="false" ht="15" hidden="false" customHeight="false" outlineLevel="0" collapsed="false">
      <c r="J218" s="15"/>
    </row>
    <row r="219" customFormat="false" ht="15" hidden="false" customHeight="false" outlineLevel="0" collapsed="false">
      <c r="J219" s="15"/>
    </row>
    <row r="220" customFormat="false" ht="15" hidden="false" customHeight="false" outlineLevel="0" collapsed="false">
      <c r="J220" s="15"/>
    </row>
    <row r="221" customFormat="false" ht="15" hidden="false" customHeight="false" outlineLevel="0" collapsed="false">
      <c r="J221" s="15"/>
    </row>
    <row r="222" customFormat="false" ht="15" hidden="false" customHeight="false" outlineLevel="0" collapsed="false">
      <c r="J222" s="15"/>
    </row>
    <row r="223" customFormat="false" ht="15" hidden="false" customHeight="false" outlineLevel="0" collapsed="false">
      <c r="J223" s="15"/>
    </row>
    <row r="224" customFormat="false" ht="15" hidden="false" customHeight="false" outlineLevel="0" collapsed="false">
      <c r="J224" s="15"/>
    </row>
    <row r="225" customFormat="false" ht="15" hidden="false" customHeight="false" outlineLevel="0" collapsed="false">
      <c r="J225" s="15"/>
    </row>
    <row r="226" customFormat="false" ht="15" hidden="false" customHeight="false" outlineLevel="0" collapsed="false">
      <c r="J226" s="15"/>
    </row>
    <row r="227" customFormat="false" ht="15" hidden="false" customHeight="false" outlineLevel="0" collapsed="false">
      <c r="J227" s="15"/>
    </row>
    <row r="228" customFormat="false" ht="15" hidden="false" customHeight="false" outlineLevel="0" collapsed="false">
      <c r="J228" s="15"/>
    </row>
    <row r="229" customFormat="false" ht="15" hidden="false" customHeight="false" outlineLevel="0" collapsed="false">
      <c r="J229" s="15"/>
    </row>
    <row r="230" customFormat="false" ht="15" hidden="false" customHeight="false" outlineLevel="0" collapsed="false">
      <c r="J230" s="15"/>
    </row>
    <row r="231" customFormat="false" ht="15" hidden="false" customHeight="false" outlineLevel="0" collapsed="false">
      <c r="J231" s="15"/>
    </row>
    <row r="232" customFormat="false" ht="15" hidden="false" customHeight="false" outlineLevel="0" collapsed="false">
      <c r="J232" s="15"/>
    </row>
    <row r="233" customFormat="false" ht="15" hidden="false" customHeight="false" outlineLevel="0" collapsed="false">
      <c r="J233" s="15"/>
    </row>
    <row r="234" customFormat="false" ht="15" hidden="false" customHeight="false" outlineLevel="0" collapsed="false">
      <c r="J234" s="15"/>
    </row>
    <row r="235" customFormat="false" ht="15" hidden="false" customHeight="false" outlineLevel="0" collapsed="false">
      <c r="J235" s="15"/>
    </row>
    <row r="236" customFormat="false" ht="15" hidden="false" customHeight="false" outlineLevel="0" collapsed="false">
      <c r="J236" s="15"/>
    </row>
    <row r="237" customFormat="false" ht="15" hidden="false" customHeight="false" outlineLevel="0" collapsed="false">
      <c r="J237" s="15"/>
    </row>
    <row r="238" customFormat="false" ht="15" hidden="false" customHeight="false" outlineLevel="0" collapsed="false">
      <c r="J238" s="15"/>
    </row>
    <row r="239" customFormat="false" ht="15" hidden="false" customHeight="false" outlineLevel="0" collapsed="false">
      <c r="J239" s="15"/>
    </row>
    <row r="240" customFormat="false" ht="15" hidden="false" customHeight="false" outlineLevel="0" collapsed="false">
      <c r="J240" s="15"/>
    </row>
    <row r="241" customFormat="false" ht="15" hidden="false" customHeight="false" outlineLevel="0" collapsed="false">
      <c r="J241" s="15"/>
    </row>
    <row r="242" customFormat="false" ht="15" hidden="false" customHeight="false" outlineLevel="0" collapsed="false">
      <c r="J242" s="15"/>
    </row>
    <row r="243" customFormat="false" ht="15" hidden="false" customHeight="false" outlineLevel="0" collapsed="false">
      <c r="J243" s="15"/>
    </row>
    <row r="244" customFormat="false" ht="15" hidden="false" customHeight="false" outlineLevel="0" collapsed="false">
      <c r="J244" s="15"/>
    </row>
    <row r="245" customFormat="false" ht="15" hidden="false" customHeight="false" outlineLevel="0" collapsed="false">
      <c r="J245" s="15"/>
    </row>
    <row r="246" customFormat="false" ht="15" hidden="false" customHeight="false" outlineLevel="0" collapsed="false">
      <c r="J246" s="15"/>
    </row>
    <row r="247" customFormat="false" ht="15" hidden="false" customHeight="false" outlineLevel="0" collapsed="false">
      <c r="J247" s="15"/>
    </row>
    <row r="248" customFormat="false" ht="15" hidden="false" customHeight="false" outlineLevel="0" collapsed="false">
      <c r="J248" s="15"/>
    </row>
    <row r="249" customFormat="false" ht="15" hidden="false" customHeight="false" outlineLevel="0" collapsed="false">
      <c r="J249" s="15"/>
    </row>
    <row r="250" customFormat="false" ht="15" hidden="false" customHeight="false" outlineLevel="0" collapsed="false">
      <c r="J250" s="15"/>
    </row>
    <row r="251" customFormat="false" ht="15" hidden="false" customHeight="false" outlineLevel="0" collapsed="false">
      <c r="J251" s="15"/>
    </row>
    <row r="252" customFormat="false" ht="15" hidden="false" customHeight="false" outlineLevel="0" collapsed="false">
      <c r="J252" s="15"/>
    </row>
    <row r="253" customFormat="false" ht="15" hidden="false" customHeight="false" outlineLevel="0" collapsed="false">
      <c r="J253" s="15"/>
    </row>
    <row r="254" customFormat="false" ht="15" hidden="false" customHeight="false" outlineLevel="0" collapsed="false">
      <c r="J254" s="15"/>
    </row>
    <row r="255" customFormat="false" ht="15" hidden="false" customHeight="false" outlineLevel="0" collapsed="false">
      <c r="J255" s="15"/>
    </row>
    <row r="256" customFormat="false" ht="15" hidden="false" customHeight="false" outlineLevel="0" collapsed="false">
      <c r="J256" s="15"/>
    </row>
    <row r="257" customFormat="false" ht="15" hidden="false" customHeight="false" outlineLevel="0" collapsed="false">
      <c r="J257" s="15"/>
    </row>
    <row r="258" customFormat="false" ht="15" hidden="false" customHeight="false" outlineLevel="0" collapsed="false">
      <c r="J258" s="15"/>
    </row>
    <row r="259" customFormat="false" ht="15" hidden="false" customHeight="false" outlineLevel="0" collapsed="false">
      <c r="J259" s="15"/>
    </row>
    <row r="260" customFormat="false" ht="15" hidden="false" customHeight="false" outlineLevel="0" collapsed="false">
      <c r="J260" s="15"/>
    </row>
    <row r="261" customFormat="false" ht="15" hidden="false" customHeight="false" outlineLevel="0" collapsed="false">
      <c r="J261" s="15"/>
    </row>
    <row r="262" customFormat="false" ht="15" hidden="false" customHeight="false" outlineLevel="0" collapsed="false">
      <c r="J262" s="15"/>
    </row>
    <row r="263" customFormat="false" ht="15" hidden="false" customHeight="false" outlineLevel="0" collapsed="false">
      <c r="J263" s="15"/>
    </row>
    <row r="264" customFormat="false" ht="15" hidden="false" customHeight="false" outlineLevel="0" collapsed="false">
      <c r="J264" s="15"/>
    </row>
    <row r="265" customFormat="false" ht="15" hidden="false" customHeight="false" outlineLevel="0" collapsed="false">
      <c r="J265" s="15"/>
    </row>
    <row r="266" customFormat="false" ht="15" hidden="false" customHeight="false" outlineLevel="0" collapsed="false">
      <c r="J266" s="15"/>
    </row>
    <row r="267" customFormat="false" ht="15" hidden="false" customHeight="false" outlineLevel="0" collapsed="false">
      <c r="J267" s="15"/>
    </row>
    <row r="268" customFormat="false" ht="15" hidden="false" customHeight="false" outlineLevel="0" collapsed="false">
      <c r="J268" s="15"/>
    </row>
    <row r="269" customFormat="false" ht="15" hidden="false" customHeight="false" outlineLevel="0" collapsed="false">
      <c r="J269" s="15"/>
    </row>
    <row r="270" customFormat="false" ht="15" hidden="false" customHeight="false" outlineLevel="0" collapsed="false">
      <c r="J270" s="15"/>
    </row>
    <row r="271" customFormat="false" ht="15" hidden="false" customHeight="false" outlineLevel="0" collapsed="false">
      <c r="J271" s="15"/>
    </row>
    <row r="272" customFormat="false" ht="15" hidden="false" customHeight="false" outlineLevel="0" collapsed="false">
      <c r="J272" s="15"/>
    </row>
    <row r="273" customFormat="false" ht="15" hidden="false" customHeight="false" outlineLevel="0" collapsed="false">
      <c r="J273" s="15"/>
    </row>
    <row r="274" customFormat="false" ht="15" hidden="false" customHeight="false" outlineLevel="0" collapsed="false">
      <c r="J274" s="15"/>
    </row>
    <row r="275" customFormat="false" ht="15" hidden="false" customHeight="false" outlineLevel="0" collapsed="false">
      <c r="J275" s="15"/>
    </row>
    <row r="276" customFormat="false" ht="15" hidden="false" customHeight="false" outlineLevel="0" collapsed="false">
      <c r="J276" s="15"/>
    </row>
    <row r="277" customFormat="false" ht="15" hidden="false" customHeight="false" outlineLevel="0" collapsed="false">
      <c r="J277" s="15"/>
    </row>
    <row r="278" customFormat="false" ht="15" hidden="false" customHeight="false" outlineLevel="0" collapsed="false">
      <c r="J278" s="15"/>
    </row>
    <row r="279" customFormat="false" ht="15" hidden="false" customHeight="false" outlineLevel="0" collapsed="false">
      <c r="J279" s="15"/>
    </row>
    <row r="280" customFormat="false" ht="15" hidden="false" customHeight="false" outlineLevel="0" collapsed="false">
      <c r="J280" s="15"/>
    </row>
    <row r="281" customFormat="false" ht="15" hidden="false" customHeight="false" outlineLevel="0" collapsed="false">
      <c r="J281" s="15"/>
    </row>
    <row r="282" customFormat="false" ht="15" hidden="false" customHeight="false" outlineLevel="0" collapsed="false">
      <c r="J282" s="15"/>
    </row>
    <row r="283" customFormat="false" ht="15" hidden="false" customHeight="false" outlineLevel="0" collapsed="false">
      <c r="J283" s="15"/>
    </row>
    <row r="284" customFormat="false" ht="15" hidden="false" customHeight="false" outlineLevel="0" collapsed="false">
      <c r="J284" s="15"/>
    </row>
    <row r="285" customFormat="false" ht="15" hidden="false" customHeight="false" outlineLevel="0" collapsed="false">
      <c r="J285" s="15"/>
    </row>
    <row r="286" customFormat="false" ht="15" hidden="false" customHeight="false" outlineLevel="0" collapsed="false">
      <c r="J286" s="15"/>
    </row>
    <row r="287" customFormat="false" ht="15" hidden="false" customHeight="false" outlineLevel="0" collapsed="false">
      <c r="J287" s="15"/>
    </row>
    <row r="288" customFormat="false" ht="15" hidden="false" customHeight="false" outlineLevel="0" collapsed="false">
      <c r="J288" s="15"/>
    </row>
    <row r="289" customFormat="false" ht="15" hidden="false" customHeight="false" outlineLevel="0" collapsed="false">
      <c r="J289" s="15"/>
    </row>
    <row r="290" customFormat="false" ht="15" hidden="false" customHeight="false" outlineLevel="0" collapsed="false">
      <c r="J290" s="15"/>
    </row>
    <row r="291" customFormat="false" ht="15" hidden="false" customHeight="false" outlineLevel="0" collapsed="false">
      <c r="J291" s="15"/>
    </row>
    <row r="292" customFormat="false" ht="15" hidden="false" customHeight="false" outlineLevel="0" collapsed="false">
      <c r="J292" s="15"/>
    </row>
    <row r="293" customFormat="false" ht="15" hidden="false" customHeight="false" outlineLevel="0" collapsed="false">
      <c r="J293" s="15"/>
    </row>
    <row r="294" customFormat="false" ht="15" hidden="false" customHeight="false" outlineLevel="0" collapsed="false">
      <c r="J294" s="15"/>
    </row>
    <row r="295" customFormat="false" ht="15" hidden="false" customHeight="false" outlineLevel="0" collapsed="false">
      <c r="J295" s="15"/>
    </row>
    <row r="296" customFormat="false" ht="15" hidden="false" customHeight="false" outlineLevel="0" collapsed="false">
      <c r="J296" s="15"/>
    </row>
    <row r="297" customFormat="false" ht="15" hidden="false" customHeight="false" outlineLevel="0" collapsed="false">
      <c r="J297" s="15"/>
    </row>
    <row r="298" customFormat="false" ht="15" hidden="false" customHeight="false" outlineLevel="0" collapsed="false">
      <c r="J298" s="15"/>
    </row>
    <row r="299" customFormat="false" ht="15" hidden="false" customHeight="false" outlineLevel="0" collapsed="false">
      <c r="J299" s="15"/>
    </row>
    <row r="300" customFormat="false" ht="15" hidden="false" customHeight="false" outlineLevel="0" collapsed="false">
      <c r="J300" s="15"/>
    </row>
    <row r="301" customFormat="false" ht="15" hidden="false" customHeight="false" outlineLevel="0" collapsed="false">
      <c r="J301" s="15"/>
    </row>
    <row r="302" customFormat="false" ht="15" hidden="false" customHeight="false" outlineLevel="0" collapsed="false">
      <c r="J302" s="15"/>
    </row>
    <row r="303" customFormat="false" ht="15" hidden="false" customHeight="false" outlineLevel="0" collapsed="false">
      <c r="J303" s="15"/>
    </row>
    <row r="304" customFormat="false" ht="15" hidden="false" customHeight="false" outlineLevel="0" collapsed="false">
      <c r="J304" s="15"/>
    </row>
    <row r="305" customFormat="false" ht="15" hidden="false" customHeight="false" outlineLevel="0" collapsed="false">
      <c r="J305" s="15"/>
    </row>
    <row r="306" customFormat="false" ht="15" hidden="false" customHeight="false" outlineLevel="0" collapsed="false">
      <c r="J306" s="15"/>
    </row>
    <row r="307" customFormat="false" ht="15" hidden="false" customHeight="false" outlineLevel="0" collapsed="false">
      <c r="J307" s="15"/>
    </row>
    <row r="308" customFormat="false" ht="15" hidden="false" customHeight="false" outlineLevel="0" collapsed="false">
      <c r="J308" s="15"/>
    </row>
    <row r="309" customFormat="false" ht="15" hidden="false" customHeight="false" outlineLevel="0" collapsed="false">
      <c r="J309" s="15"/>
    </row>
    <row r="310" customFormat="false" ht="15" hidden="false" customHeight="false" outlineLevel="0" collapsed="false">
      <c r="J310" s="15"/>
    </row>
    <row r="311" customFormat="false" ht="15" hidden="false" customHeight="false" outlineLevel="0" collapsed="false">
      <c r="J311" s="15"/>
    </row>
    <row r="312" customFormat="false" ht="15" hidden="false" customHeight="false" outlineLevel="0" collapsed="false">
      <c r="J312" s="15"/>
    </row>
    <row r="313" customFormat="false" ht="15" hidden="false" customHeight="false" outlineLevel="0" collapsed="false">
      <c r="J313" s="15"/>
    </row>
    <row r="314" customFormat="false" ht="15" hidden="false" customHeight="false" outlineLevel="0" collapsed="false">
      <c r="J314" s="15"/>
    </row>
    <row r="315" customFormat="false" ht="15" hidden="false" customHeight="false" outlineLevel="0" collapsed="false">
      <c r="J315" s="15"/>
    </row>
    <row r="316" customFormat="false" ht="15" hidden="false" customHeight="false" outlineLevel="0" collapsed="false">
      <c r="J316" s="15"/>
    </row>
    <row r="317" customFormat="false" ht="15" hidden="false" customHeight="false" outlineLevel="0" collapsed="false">
      <c r="J317" s="15"/>
    </row>
    <row r="318" customFormat="false" ht="15" hidden="false" customHeight="false" outlineLevel="0" collapsed="false">
      <c r="J318" s="15"/>
    </row>
    <row r="319" customFormat="false" ht="15" hidden="false" customHeight="false" outlineLevel="0" collapsed="false">
      <c r="J319" s="15"/>
    </row>
    <row r="320" customFormat="false" ht="15" hidden="false" customHeight="false" outlineLevel="0" collapsed="false">
      <c r="J320" s="15"/>
    </row>
    <row r="321" customFormat="false" ht="15" hidden="false" customHeight="false" outlineLevel="0" collapsed="false">
      <c r="J321" s="15"/>
    </row>
    <row r="322" customFormat="false" ht="15" hidden="false" customHeight="false" outlineLevel="0" collapsed="false">
      <c r="J322" s="15"/>
    </row>
    <row r="323" customFormat="false" ht="15" hidden="false" customHeight="false" outlineLevel="0" collapsed="false">
      <c r="J323" s="15"/>
    </row>
    <row r="324" customFormat="false" ht="15" hidden="false" customHeight="false" outlineLevel="0" collapsed="false">
      <c r="J324" s="15"/>
    </row>
    <row r="325" customFormat="false" ht="15" hidden="false" customHeight="false" outlineLevel="0" collapsed="false">
      <c r="J325" s="15"/>
    </row>
    <row r="326" customFormat="false" ht="15" hidden="false" customHeight="false" outlineLevel="0" collapsed="false">
      <c r="J326" s="15"/>
    </row>
    <row r="327" customFormat="false" ht="15" hidden="false" customHeight="false" outlineLevel="0" collapsed="false">
      <c r="J327" s="15"/>
    </row>
    <row r="328" customFormat="false" ht="15" hidden="false" customHeight="false" outlineLevel="0" collapsed="false">
      <c r="J328" s="15"/>
    </row>
    <row r="329" customFormat="false" ht="15" hidden="false" customHeight="false" outlineLevel="0" collapsed="false">
      <c r="J329" s="15"/>
    </row>
    <row r="330" customFormat="false" ht="15" hidden="false" customHeight="false" outlineLevel="0" collapsed="false">
      <c r="J330" s="15"/>
    </row>
    <row r="331" customFormat="false" ht="15" hidden="false" customHeight="false" outlineLevel="0" collapsed="false">
      <c r="J331" s="15"/>
    </row>
    <row r="332" customFormat="false" ht="15" hidden="false" customHeight="false" outlineLevel="0" collapsed="false">
      <c r="J332" s="15"/>
    </row>
    <row r="333" customFormat="false" ht="15" hidden="false" customHeight="false" outlineLevel="0" collapsed="false">
      <c r="J333" s="15"/>
    </row>
    <row r="334" customFormat="false" ht="15" hidden="false" customHeight="false" outlineLevel="0" collapsed="false">
      <c r="J334" s="15"/>
    </row>
    <row r="335" customFormat="false" ht="15" hidden="false" customHeight="false" outlineLevel="0" collapsed="false">
      <c r="J335" s="15"/>
    </row>
    <row r="336" customFormat="false" ht="15" hidden="false" customHeight="false" outlineLevel="0" collapsed="false">
      <c r="J336" s="15"/>
    </row>
    <row r="337" customFormat="false" ht="15" hidden="false" customHeight="false" outlineLevel="0" collapsed="false">
      <c r="J337" s="15"/>
    </row>
    <row r="338" customFormat="false" ht="15" hidden="false" customHeight="false" outlineLevel="0" collapsed="false">
      <c r="J338" s="15"/>
    </row>
    <row r="339" customFormat="false" ht="15" hidden="false" customHeight="false" outlineLevel="0" collapsed="false">
      <c r="J339" s="15"/>
    </row>
    <row r="340" customFormat="false" ht="15" hidden="false" customHeight="false" outlineLevel="0" collapsed="false">
      <c r="J340" s="15"/>
    </row>
    <row r="341" customFormat="false" ht="15" hidden="false" customHeight="false" outlineLevel="0" collapsed="false">
      <c r="J341" s="15"/>
    </row>
    <row r="342" customFormat="false" ht="15" hidden="false" customHeight="false" outlineLevel="0" collapsed="false">
      <c r="J342" s="15"/>
    </row>
    <row r="343" customFormat="false" ht="15" hidden="false" customHeight="false" outlineLevel="0" collapsed="false">
      <c r="J343" s="15"/>
    </row>
    <row r="344" customFormat="false" ht="15" hidden="false" customHeight="false" outlineLevel="0" collapsed="false">
      <c r="J344" s="15"/>
    </row>
    <row r="345" customFormat="false" ht="15" hidden="false" customHeight="false" outlineLevel="0" collapsed="false">
      <c r="J345" s="15"/>
    </row>
    <row r="346" customFormat="false" ht="15" hidden="false" customHeight="false" outlineLevel="0" collapsed="false">
      <c r="J346" s="15"/>
    </row>
    <row r="347" customFormat="false" ht="15" hidden="false" customHeight="false" outlineLevel="0" collapsed="false">
      <c r="J347" s="15"/>
    </row>
    <row r="348" customFormat="false" ht="15" hidden="false" customHeight="false" outlineLevel="0" collapsed="false">
      <c r="J348" s="15"/>
    </row>
    <row r="349" customFormat="false" ht="15" hidden="false" customHeight="false" outlineLevel="0" collapsed="false">
      <c r="J349" s="15"/>
    </row>
    <row r="350" customFormat="false" ht="15" hidden="false" customHeight="false" outlineLevel="0" collapsed="false">
      <c r="J350" s="15"/>
    </row>
    <row r="351" customFormat="false" ht="15" hidden="false" customHeight="false" outlineLevel="0" collapsed="false">
      <c r="J351" s="15"/>
    </row>
    <row r="352" customFormat="false" ht="15" hidden="false" customHeight="false" outlineLevel="0" collapsed="false">
      <c r="J352" s="15"/>
    </row>
    <row r="353" customFormat="false" ht="15" hidden="false" customHeight="false" outlineLevel="0" collapsed="false">
      <c r="J353" s="15"/>
    </row>
    <row r="354" customFormat="false" ht="15" hidden="false" customHeight="false" outlineLevel="0" collapsed="false">
      <c r="J354" s="15"/>
    </row>
    <row r="355" customFormat="false" ht="15" hidden="false" customHeight="false" outlineLevel="0" collapsed="false">
      <c r="J355" s="15"/>
    </row>
    <row r="356" customFormat="false" ht="15" hidden="false" customHeight="false" outlineLevel="0" collapsed="false">
      <c r="J356" s="15"/>
    </row>
    <row r="357" customFormat="false" ht="15" hidden="false" customHeight="false" outlineLevel="0" collapsed="false">
      <c r="J357" s="15"/>
    </row>
    <row r="358" customFormat="false" ht="15" hidden="false" customHeight="false" outlineLevel="0" collapsed="false">
      <c r="J358" s="15"/>
    </row>
    <row r="359" customFormat="false" ht="15" hidden="false" customHeight="false" outlineLevel="0" collapsed="false">
      <c r="J359" s="15"/>
    </row>
    <row r="360" customFormat="false" ht="15" hidden="false" customHeight="false" outlineLevel="0" collapsed="false">
      <c r="J360" s="15"/>
    </row>
    <row r="361" customFormat="false" ht="15" hidden="false" customHeight="false" outlineLevel="0" collapsed="false">
      <c r="J361" s="15"/>
    </row>
    <row r="362" customFormat="false" ht="15" hidden="false" customHeight="false" outlineLevel="0" collapsed="false">
      <c r="J362" s="15"/>
    </row>
    <row r="363" customFormat="false" ht="15" hidden="false" customHeight="false" outlineLevel="0" collapsed="false">
      <c r="J363" s="15"/>
    </row>
    <row r="364" customFormat="false" ht="15" hidden="false" customHeight="false" outlineLevel="0" collapsed="false">
      <c r="J364" s="15"/>
    </row>
    <row r="365" customFormat="false" ht="15" hidden="false" customHeight="false" outlineLevel="0" collapsed="false">
      <c r="J365" s="15"/>
    </row>
    <row r="366" customFormat="false" ht="15" hidden="false" customHeight="false" outlineLevel="0" collapsed="false">
      <c r="J366" s="15"/>
    </row>
    <row r="367" customFormat="false" ht="15" hidden="false" customHeight="false" outlineLevel="0" collapsed="false">
      <c r="J367" s="15"/>
    </row>
    <row r="368" customFormat="false" ht="15" hidden="false" customHeight="false" outlineLevel="0" collapsed="false">
      <c r="J368" s="15"/>
    </row>
    <row r="369" customFormat="false" ht="15" hidden="false" customHeight="false" outlineLevel="0" collapsed="false">
      <c r="J369" s="15"/>
    </row>
    <row r="370" customFormat="false" ht="15" hidden="false" customHeight="false" outlineLevel="0" collapsed="false">
      <c r="J370" s="15"/>
    </row>
    <row r="371" customFormat="false" ht="15" hidden="false" customHeight="false" outlineLevel="0" collapsed="false">
      <c r="J371" s="15"/>
    </row>
    <row r="372" customFormat="false" ht="15" hidden="false" customHeight="false" outlineLevel="0" collapsed="false">
      <c r="J372" s="15"/>
    </row>
    <row r="373" customFormat="false" ht="15" hidden="false" customHeight="false" outlineLevel="0" collapsed="false">
      <c r="J373" s="15"/>
    </row>
    <row r="374" customFormat="false" ht="15" hidden="false" customHeight="false" outlineLevel="0" collapsed="false">
      <c r="J374" s="15"/>
    </row>
    <row r="375" customFormat="false" ht="15" hidden="false" customHeight="false" outlineLevel="0" collapsed="false">
      <c r="J375" s="15"/>
    </row>
    <row r="376" customFormat="false" ht="15" hidden="false" customHeight="false" outlineLevel="0" collapsed="false">
      <c r="J376" s="15"/>
    </row>
    <row r="377" customFormat="false" ht="15" hidden="false" customHeight="false" outlineLevel="0" collapsed="false">
      <c r="J377" s="15"/>
    </row>
    <row r="378" customFormat="false" ht="15" hidden="false" customHeight="false" outlineLevel="0" collapsed="false">
      <c r="J378" s="15"/>
    </row>
    <row r="379" customFormat="false" ht="15" hidden="false" customHeight="false" outlineLevel="0" collapsed="false">
      <c r="J379" s="15"/>
    </row>
    <row r="380" customFormat="false" ht="15" hidden="false" customHeight="false" outlineLevel="0" collapsed="false">
      <c r="J380" s="15"/>
    </row>
    <row r="381" customFormat="false" ht="15" hidden="false" customHeight="false" outlineLevel="0" collapsed="false">
      <c r="J381" s="15"/>
    </row>
    <row r="382" customFormat="false" ht="15" hidden="false" customHeight="false" outlineLevel="0" collapsed="false">
      <c r="J382" s="15"/>
    </row>
    <row r="383" customFormat="false" ht="15" hidden="false" customHeight="false" outlineLevel="0" collapsed="false">
      <c r="J383" s="15"/>
    </row>
    <row r="384" customFormat="false" ht="15" hidden="false" customHeight="false" outlineLevel="0" collapsed="false">
      <c r="J384" s="15"/>
    </row>
    <row r="385" customFormat="false" ht="15" hidden="false" customHeight="false" outlineLevel="0" collapsed="false">
      <c r="J385" s="15"/>
    </row>
    <row r="386" customFormat="false" ht="15" hidden="false" customHeight="false" outlineLevel="0" collapsed="false">
      <c r="J386" s="15"/>
    </row>
    <row r="387" customFormat="false" ht="15" hidden="false" customHeight="false" outlineLevel="0" collapsed="false">
      <c r="J387" s="15"/>
    </row>
    <row r="388" customFormat="false" ht="15" hidden="false" customHeight="false" outlineLevel="0" collapsed="false">
      <c r="J388" s="15"/>
    </row>
    <row r="389" customFormat="false" ht="15" hidden="false" customHeight="false" outlineLevel="0" collapsed="false">
      <c r="J389" s="15"/>
    </row>
    <row r="390" customFormat="false" ht="15" hidden="false" customHeight="false" outlineLevel="0" collapsed="false">
      <c r="J390" s="15"/>
    </row>
    <row r="391" customFormat="false" ht="15" hidden="false" customHeight="false" outlineLevel="0" collapsed="false">
      <c r="J391" s="15"/>
    </row>
    <row r="392" customFormat="false" ht="15" hidden="false" customHeight="false" outlineLevel="0" collapsed="false">
      <c r="J392" s="15"/>
    </row>
    <row r="393" customFormat="false" ht="15" hidden="false" customHeight="false" outlineLevel="0" collapsed="false">
      <c r="J393" s="15"/>
    </row>
    <row r="394" customFormat="false" ht="15" hidden="false" customHeight="false" outlineLevel="0" collapsed="false">
      <c r="J394" s="15"/>
    </row>
    <row r="395" customFormat="false" ht="15" hidden="false" customHeight="false" outlineLevel="0" collapsed="false">
      <c r="J395" s="15"/>
    </row>
    <row r="396" customFormat="false" ht="15" hidden="false" customHeight="false" outlineLevel="0" collapsed="false">
      <c r="J396" s="15"/>
    </row>
    <row r="397" customFormat="false" ht="15" hidden="false" customHeight="false" outlineLevel="0" collapsed="false">
      <c r="J397" s="15"/>
    </row>
    <row r="398" customFormat="false" ht="15" hidden="false" customHeight="false" outlineLevel="0" collapsed="false">
      <c r="J398" s="15"/>
    </row>
    <row r="399" customFormat="false" ht="15" hidden="false" customHeight="false" outlineLevel="0" collapsed="false">
      <c r="J399" s="15"/>
    </row>
    <row r="400" customFormat="false" ht="15" hidden="false" customHeight="false" outlineLevel="0" collapsed="false">
      <c r="J400" s="15"/>
    </row>
    <row r="401" customFormat="false" ht="15" hidden="false" customHeight="false" outlineLevel="0" collapsed="false">
      <c r="J401" s="15"/>
    </row>
    <row r="402" customFormat="false" ht="15" hidden="false" customHeight="false" outlineLevel="0" collapsed="false">
      <c r="J402" s="15"/>
    </row>
    <row r="403" customFormat="false" ht="15" hidden="false" customHeight="false" outlineLevel="0" collapsed="false">
      <c r="J403" s="15"/>
    </row>
    <row r="404" customFormat="false" ht="15" hidden="false" customHeight="false" outlineLevel="0" collapsed="false">
      <c r="J404" s="15"/>
    </row>
    <row r="405" customFormat="false" ht="15" hidden="false" customHeight="false" outlineLevel="0" collapsed="false">
      <c r="J405" s="15"/>
    </row>
    <row r="406" customFormat="false" ht="15" hidden="false" customHeight="false" outlineLevel="0" collapsed="false">
      <c r="J406" s="15"/>
    </row>
    <row r="407" customFormat="false" ht="15" hidden="false" customHeight="false" outlineLevel="0" collapsed="false">
      <c r="J407" s="15"/>
    </row>
    <row r="408" customFormat="false" ht="15" hidden="false" customHeight="false" outlineLevel="0" collapsed="false">
      <c r="J408" s="15"/>
    </row>
    <row r="409" customFormat="false" ht="15" hidden="false" customHeight="false" outlineLevel="0" collapsed="false">
      <c r="J409" s="15"/>
    </row>
    <row r="410" customFormat="false" ht="15" hidden="false" customHeight="false" outlineLevel="0" collapsed="false">
      <c r="J410" s="15"/>
    </row>
    <row r="411" customFormat="false" ht="15" hidden="false" customHeight="false" outlineLevel="0" collapsed="false">
      <c r="J411" s="15"/>
    </row>
    <row r="412" customFormat="false" ht="15" hidden="false" customHeight="false" outlineLevel="0" collapsed="false">
      <c r="J412" s="15"/>
    </row>
    <row r="413" customFormat="false" ht="15" hidden="false" customHeight="false" outlineLevel="0" collapsed="false">
      <c r="J413" s="15"/>
    </row>
    <row r="414" customFormat="false" ht="15" hidden="false" customHeight="false" outlineLevel="0" collapsed="false">
      <c r="J414" s="15"/>
    </row>
    <row r="415" customFormat="false" ht="15" hidden="false" customHeight="false" outlineLevel="0" collapsed="false">
      <c r="J415" s="15"/>
    </row>
    <row r="416" customFormat="false" ht="15" hidden="false" customHeight="false" outlineLevel="0" collapsed="false">
      <c r="J416" s="15"/>
    </row>
    <row r="417" customFormat="false" ht="15" hidden="false" customHeight="false" outlineLevel="0" collapsed="false">
      <c r="J417" s="15"/>
    </row>
    <row r="418" customFormat="false" ht="15" hidden="false" customHeight="false" outlineLevel="0" collapsed="false">
      <c r="J418" s="15"/>
    </row>
    <row r="419" customFormat="false" ht="15" hidden="false" customHeight="false" outlineLevel="0" collapsed="false">
      <c r="J419" s="15"/>
    </row>
    <row r="420" customFormat="false" ht="15" hidden="false" customHeight="false" outlineLevel="0" collapsed="false">
      <c r="J420" s="15"/>
    </row>
    <row r="421" customFormat="false" ht="15" hidden="false" customHeight="false" outlineLevel="0" collapsed="false">
      <c r="J421" s="15"/>
    </row>
    <row r="422" customFormat="false" ht="15" hidden="false" customHeight="false" outlineLevel="0" collapsed="false">
      <c r="J422" s="15"/>
    </row>
    <row r="423" customFormat="false" ht="15" hidden="false" customHeight="false" outlineLevel="0" collapsed="false">
      <c r="J423" s="15"/>
    </row>
    <row r="424" customFormat="false" ht="15" hidden="false" customHeight="false" outlineLevel="0" collapsed="false">
      <c r="J424" s="15"/>
    </row>
    <row r="425" customFormat="false" ht="15" hidden="false" customHeight="false" outlineLevel="0" collapsed="false">
      <c r="J425" s="15"/>
    </row>
    <row r="426" customFormat="false" ht="15" hidden="false" customHeight="false" outlineLevel="0" collapsed="false">
      <c r="J426" s="15"/>
    </row>
    <row r="427" customFormat="false" ht="15" hidden="false" customHeight="false" outlineLevel="0" collapsed="false">
      <c r="J427" s="15"/>
    </row>
    <row r="428" customFormat="false" ht="15" hidden="false" customHeight="false" outlineLevel="0" collapsed="false">
      <c r="J428" s="15"/>
    </row>
    <row r="429" customFormat="false" ht="15" hidden="false" customHeight="false" outlineLevel="0" collapsed="false">
      <c r="J429" s="15"/>
    </row>
    <row r="430" customFormat="false" ht="15" hidden="false" customHeight="false" outlineLevel="0" collapsed="false">
      <c r="J430" s="15"/>
    </row>
    <row r="431" customFormat="false" ht="15" hidden="false" customHeight="false" outlineLevel="0" collapsed="false">
      <c r="J431" s="15"/>
    </row>
    <row r="432" customFormat="false" ht="15" hidden="false" customHeight="false" outlineLevel="0" collapsed="false">
      <c r="J432" s="15"/>
    </row>
    <row r="433" customFormat="false" ht="15" hidden="false" customHeight="false" outlineLevel="0" collapsed="false">
      <c r="J433" s="15"/>
    </row>
    <row r="434" customFormat="false" ht="15" hidden="false" customHeight="false" outlineLevel="0" collapsed="false">
      <c r="J434" s="15"/>
    </row>
    <row r="435" customFormat="false" ht="15" hidden="false" customHeight="false" outlineLevel="0" collapsed="false">
      <c r="J435" s="15"/>
    </row>
    <row r="436" customFormat="false" ht="15" hidden="false" customHeight="false" outlineLevel="0" collapsed="false">
      <c r="J436" s="15"/>
    </row>
    <row r="437" customFormat="false" ht="15" hidden="false" customHeight="false" outlineLevel="0" collapsed="false">
      <c r="J437" s="15"/>
    </row>
    <row r="438" customFormat="false" ht="15" hidden="false" customHeight="false" outlineLevel="0" collapsed="false">
      <c r="J438" s="15"/>
    </row>
    <row r="439" customFormat="false" ht="15" hidden="false" customHeight="false" outlineLevel="0" collapsed="false">
      <c r="J439" s="15"/>
    </row>
    <row r="440" customFormat="false" ht="15" hidden="false" customHeight="false" outlineLevel="0" collapsed="false">
      <c r="J440" s="15"/>
    </row>
    <row r="441" customFormat="false" ht="15" hidden="false" customHeight="false" outlineLevel="0" collapsed="false">
      <c r="J441" s="15"/>
    </row>
    <row r="442" customFormat="false" ht="15" hidden="false" customHeight="false" outlineLevel="0" collapsed="false">
      <c r="J442" s="15"/>
    </row>
    <row r="443" customFormat="false" ht="15" hidden="false" customHeight="false" outlineLevel="0" collapsed="false">
      <c r="J443" s="15"/>
    </row>
    <row r="444" customFormat="false" ht="15" hidden="false" customHeight="false" outlineLevel="0" collapsed="false">
      <c r="J444" s="15"/>
    </row>
    <row r="445" customFormat="false" ht="15" hidden="false" customHeight="false" outlineLevel="0" collapsed="false">
      <c r="J445" s="15"/>
    </row>
    <row r="446" customFormat="false" ht="15" hidden="false" customHeight="false" outlineLevel="0" collapsed="false">
      <c r="J446" s="15"/>
    </row>
    <row r="447" customFormat="false" ht="15" hidden="false" customHeight="false" outlineLevel="0" collapsed="false">
      <c r="J447" s="15"/>
    </row>
    <row r="448" customFormat="false" ht="15" hidden="false" customHeight="false" outlineLevel="0" collapsed="false">
      <c r="J448" s="15"/>
    </row>
    <row r="449" customFormat="false" ht="15" hidden="false" customHeight="false" outlineLevel="0" collapsed="false">
      <c r="J449" s="15"/>
    </row>
    <row r="450" customFormat="false" ht="15" hidden="false" customHeight="false" outlineLevel="0" collapsed="false">
      <c r="J450" s="15"/>
    </row>
    <row r="451" customFormat="false" ht="15" hidden="false" customHeight="false" outlineLevel="0" collapsed="false">
      <c r="J451" s="15"/>
    </row>
    <row r="452" customFormat="false" ht="15" hidden="false" customHeight="false" outlineLevel="0" collapsed="false">
      <c r="J452" s="15"/>
    </row>
    <row r="453" customFormat="false" ht="15" hidden="false" customHeight="false" outlineLevel="0" collapsed="false">
      <c r="J453" s="15"/>
    </row>
    <row r="454" customFormat="false" ht="15" hidden="false" customHeight="false" outlineLevel="0" collapsed="false">
      <c r="J454" s="15"/>
    </row>
    <row r="455" customFormat="false" ht="15" hidden="false" customHeight="false" outlineLevel="0" collapsed="false">
      <c r="J455" s="15"/>
    </row>
    <row r="456" customFormat="false" ht="15" hidden="false" customHeight="false" outlineLevel="0" collapsed="false">
      <c r="J456" s="15"/>
    </row>
    <row r="457" customFormat="false" ht="15" hidden="false" customHeight="false" outlineLevel="0" collapsed="false">
      <c r="J457" s="15"/>
    </row>
    <row r="458" customFormat="false" ht="15" hidden="false" customHeight="false" outlineLevel="0" collapsed="false">
      <c r="J458" s="15"/>
    </row>
    <row r="459" customFormat="false" ht="15" hidden="false" customHeight="false" outlineLevel="0" collapsed="false">
      <c r="J459" s="15"/>
    </row>
    <row r="460" customFormat="false" ht="15" hidden="false" customHeight="false" outlineLevel="0" collapsed="false">
      <c r="J460" s="15"/>
    </row>
    <row r="461" customFormat="false" ht="15" hidden="false" customHeight="false" outlineLevel="0" collapsed="false">
      <c r="J461" s="15"/>
    </row>
    <row r="462" customFormat="false" ht="15" hidden="false" customHeight="false" outlineLevel="0" collapsed="false">
      <c r="J462" s="15"/>
    </row>
    <row r="463" customFormat="false" ht="15" hidden="false" customHeight="false" outlineLevel="0" collapsed="false">
      <c r="J463" s="15"/>
    </row>
    <row r="464" customFormat="false" ht="15" hidden="false" customHeight="false" outlineLevel="0" collapsed="false">
      <c r="J464" s="15"/>
    </row>
    <row r="465" customFormat="false" ht="15" hidden="false" customHeight="false" outlineLevel="0" collapsed="false">
      <c r="J465" s="15"/>
    </row>
    <row r="466" customFormat="false" ht="15" hidden="false" customHeight="false" outlineLevel="0" collapsed="false">
      <c r="J466" s="15"/>
    </row>
    <row r="467" customFormat="false" ht="15" hidden="false" customHeight="false" outlineLevel="0" collapsed="false">
      <c r="J467" s="15"/>
    </row>
    <row r="468" customFormat="false" ht="15" hidden="false" customHeight="false" outlineLevel="0" collapsed="false">
      <c r="J468" s="15"/>
    </row>
    <row r="469" customFormat="false" ht="15" hidden="false" customHeight="false" outlineLevel="0" collapsed="false">
      <c r="J469" s="15"/>
    </row>
    <row r="470" customFormat="false" ht="15" hidden="false" customHeight="false" outlineLevel="0" collapsed="false">
      <c r="J470" s="15"/>
    </row>
    <row r="471" customFormat="false" ht="15" hidden="false" customHeight="false" outlineLevel="0" collapsed="false">
      <c r="J471" s="15"/>
    </row>
    <row r="472" customFormat="false" ht="15" hidden="false" customHeight="false" outlineLevel="0" collapsed="false">
      <c r="J472" s="15"/>
    </row>
    <row r="473" customFormat="false" ht="15" hidden="false" customHeight="false" outlineLevel="0" collapsed="false">
      <c r="J473" s="15"/>
    </row>
    <row r="474" customFormat="false" ht="15" hidden="false" customHeight="false" outlineLevel="0" collapsed="false">
      <c r="J474" s="15"/>
    </row>
    <row r="475" customFormat="false" ht="15" hidden="false" customHeight="false" outlineLevel="0" collapsed="false">
      <c r="J475" s="15"/>
    </row>
    <row r="476" customFormat="false" ht="15" hidden="false" customHeight="false" outlineLevel="0" collapsed="false">
      <c r="J476" s="15"/>
    </row>
    <row r="477" customFormat="false" ht="15" hidden="false" customHeight="false" outlineLevel="0" collapsed="false">
      <c r="J477" s="15"/>
    </row>
    <row r="478" customFormat="false" ht="15" hidden="false" customHeight="false" outlineLevel="0" collapsed="false">
      <c r="J478" s="15"/>
    </row>
    <row r="479" customFormat="false" ht="15" hidden="false" customHeight="false" outlineLevel="0" collapsed="false">
      <c r="J479" s="15"/>
    </row>
    <row r="480" customFormat="false" ht="15" hidden="false" customHeight="false" outlineLevel="0" collapsed="false">
      <c r="J480" s="15"/>
    </row>
    <row r="481" customFormat="false" ht="15" hidden="false" customHeight="false" outlineLevel="0" collapsed="false">
      <c r="J481" s="15"/>
    </row>
    <row r="482" customFormat="false" ht="15" hidden="false" customHeight="false" outlineLevel="0" collapsed="false">
      <c r="J482" s="15"/>
    </row>
    <row r="483" customFormat="false" ht="15" hidden="false" customHeight="false" outlineLevel="0" collapsed="false">
      <c r="J483" s="15"/>
    </row>
    <row r="484" customFormat="false" ht="15" hidden="false" customHeight="false" outlineLevel="0" collapsed="false">
      <c r="J484" s="15"/>
    </row>
    <row r="485" customFormat="false" ht="15" hidden="false" customHeight="false" outlineLevel="0" collapsed="false">
      <c r="J485" s="15"/>
    </row>
    <row r="486" customFormat="false" ht="15" hidden="false" customHeight="false" outlineLevel="0" collapsed="false">
      <c r="J486" s="15"/>
    </row>
    <row r="487" customFormat="false" ht="15" hidden="false" customHeight="false" outlineLevel="0" collapsed="false">
      <c r="J487" s="15"/>
    </row>
    <row r="488" customFormat="false" ht="15" hidden="false" customHeight="false" outlineLevel="0" collapsed="false">
      <c r="J488" s="15"/>
    </row>
    <row r="489" customFormat="false" ht="15" hidden="false" customHeight="false" outlineLevel="0" collapsed="false">
      <c r="J489" s="15"/>
    </row>
    <row r="490" customFormat="false" ht="15" hidden="false" customHeight="false" outlineLevel="0" collapsed="false">
      <c r="J490" s="15"/>
    </row>
    <row r="491" customFormat="false" ht="15" hidden="false" customHeight="false" outlineLevel="0" collapsed="false">
      <c r="J491" s="15"/>
    </row>
    <row r="492" customFormat="false" ht="15" hidden="false" customHeight="false" outlineLevel="0" collapsed="false">
      <c r="J492" s="15"/>
    </row>
    <row r="493" customFormat="false" ht="15" hidden="false" customHeight="false" outlineLevel="0" collapsed="false">
      <c r="J493" s="15"/>
    </row>
    <row r="494" customFormat="false" ht="15" hidden="false" customHeight="false" outlineLevel="0" collapsed="false">
      <c r="J494" s="15"/>
    </row>
    <row r="495" customFormat="false" ht="15" hidden="false" customHeight="false" outlineLevel="0" collapsed="false">
      <c r="J495" s="15"/>
    </row>
    <row r="496" customFormat="false" ht="15" hidden="false" customHeight="false" outlineLevel="0" collapsed="false">
      <c r="J496" s="15"/>
    </row>
    <row r="497" customFormat="false" ht="15" hidden="false" customHeight="false" outlineLevel="0" collapsed="false">
      <c r="J497" s="15"/>
    </row>
    <row r="498" customFormat="false" ht="15" hidden="false" customHeight="false" outlineLevel="0" collapsed="false">
      <c r="J498" s="15"/>
    </row>
    <row r="499" customFormat="false" ht="15" hidden="false" customHeight="false" outlineLevel="0" collapsed="false">
      <c r="J499" s="15"/>
    </row>
    <row r="500" customFormat="false" ht="15" hidden="false" customHeight="false" outlineLevel="0" collapsed="false">
      <c r="J500" s="15"/>
    </row>
    <row r="501" customFormat="false" ht="15" hidden="false" customHeight="false" outlineLevel="0" collapsed="false">
      <c r="J501" s="15"/>
    </row>
    <row r="502" customFormat="false" ht="15" hidden="false" customHeight="false" outlineLevel="0" collapsed="false">
      <c r="J502" s="15"/>
    </row>
    <row r="503" customFormat="false" ht="15" hidden="false" customHeight="false" outlineLevel="0" collapsed="false">
      <c r="J503" s="15"/>
    </row>
    <row r="504" customFormat="false" ht="15" hidden="false" customHeight="false" outlineLevel="0" collapsed="false">
      <c r="J504" s="15"/>
    </row>
  </sheetData>
  <dataValidations count="2">
    <dataValidation allowBlank="true" error="Kies een waarde uit de lijst." errorStyle="stop" errorTitle="Ongeldige invoer" operator="between" showDropDown="false" showErrorMessage="false" showInputMessage="false" sqref="F5:F504" type="list">
      <formula1>Keuzelijsten!$O$5:$O$200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I5:I504" type="list">
      <formula1>Keuzelijsten!$Q$5:$Q$200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8" min="6" style="0" width="16"/>
    <col collapsed="false" customWidth="true" hidden="false" outlineLevel="0" max="10" min="9" style="0" width="14"/>
    <col collapsed="false" customWidth="true" hidden="false" outlineLevel="0" max="12" min="11" style="0" width="20"/>
    <col collapsed="false" customWidth="true" hidden="false" outlineLevel="0" max="13" min="13" style="0" width="26"/>
    <col collapsed="false" customWidth="true" hidden="false" outlineLevel="0" max="14" min="14" style="0" width="30"/>
    <col collapsed="false" customWidth="true" hidden="false" outlineLevel="0" max="15" min="15" style="0" width="14"/>
    <col collapsed="false" customWidth="true" hidden="false" outlineLevel="0" max="16" min="16" style="0" width="44"/>
  </cols>
  <sheetData>
    <row r="1" customFormat="false" ht="22.05" hidden="false" customHeight="false" outlineLevel="0" collapsed="false">
      <c r="A1" s="6" t="s">
        <v>10</v>
      </c>
    </row>
    <row r="2" customFormat="false" ht="25.5" hidden="false" customHeight="true" outlineLevel="0" collapsed="false">
      <c r="A2" s="7" t="s">
        <v>267</v>
      </c>
    </row>
    <row r="4" customFormat="false" ht="31.5" hidden="false" customHeight="true" outlineLevel="0" collapsed="false">
      <c r="A4" s="9" t="s">
        <v>268</v>
      </c>
      <c r="B4" s="9" t="s">
        <v>192</v>
      </c>
      <c r="C4" s="9" t="s">
        <v>269</v>
      </c>
      <c r="D4" s="9" t="s">
        <v>270</v>
      </c>
      <c r="E4" s="9" t="s">
        <v>271</v>
      </c>
      <c r="F4" s="9" t="s">
        <v>272</v>
      </c>
      <c r="G4" s="9" t="s">
        <v>273</v>
      </c>
      <c r="H4" s="9" t="s">
        <v>274</v>
      </c>
      <c r="I4" s="9" t="s">
        <v>275</v>
      </c>
      <c r="J4" s="9" t="s">
        <v>276</v>
      </c>
      <c r="K4" s="9" t="s">
        <v>277</v>
      </c>
      <c r="L4" s="9" t="s">
        <v>278</v>
      </c>
      <c r="M4" s="9" t="s">
        <v>279</v>
      </c>
      <c r="N4" s="9" t="s">
        <v>280</v>
      </c>
      <c r="O4" s="9" t="s">
        <v>281</v>
      </c>
      <c r="P4" s="9" t="s">
        <v>213</v>
      </c>
    </row>
    <row r="5" customFormat="false" ht="15" hidden="false" customHeight="false" outlineLevel="0" collapsed="false">
      <c r="A5" s="10" t="s">
        <v>282</v>
      </c>
      <c r="B5" s="10" t="s">
        <v>215</v>
      </c>
      <c r="C5" s="10" t="s">
        <v>74</v>
      </c>
      <c r="D5" s="10" t="s">
        <v>283</v>
      </c>
      <c r="E5" s="10" t="s">
        <v>135</v>
      </c>
      <c r="F5" s="11" t="s">
        <v>218</v>
      </c>
      <c r="G5" s="11" t="s">
        <v>284</v>
      </c>
      <c r="H5" s="11" t="s">
        <v>284</v>
      </c>
      <c r="I5" s="11" t="s">
        <v>285</v>
      </c>
      <c r="J5" s="10" t="n">
        <v>36</v>
      </c>
      <c r="K5" s="12" t="n">
        <v>0</v>
      </c>
      <c r="L5" s="10" t="s">
        <v>83</v>
      </c>
      <c r="M5" s="10"/>
      <c r="N5" s="10"/>
      <c r="O5" s="10" t="s">
        <v>97</v>
      </c>
      <c r="P5" s="14" t="s">
        <v>264</v>
      </c>
    </row>
    <row r="6" customFormat="false" ht="15" hidden="false" customHeight="false" outlineLevel="0" collapsed="false">
      <c r="A6" s="10" t="s">
        <v>286</v>
      </c>
      <c r="B6" s="10" t="s">
        <v>215</v>
      </c>
      <c r="C6" s="10" t="s">
        <v>146</v>
      </c>
      <c r="D6" s="10" t="s">
        <v>287</v>
      </c>
      <c r="E6" s="10" t="s">
        <v>123</v>
      </c>
      <c r="F6" s="11" t="s">
        <v>288</v>
      </c>
      <c r="G6" s="11"/>
      <c r="H6" s="11"/>
      <c r="I6" s="11"/>
      <c r="J6" s="10"/>
      <c r="K6" s="12" t="n">
        <v>0</v>
      </c>
      <c r="L6" s="10" t="s">
        <v>83</v>
      </c>
      <c r="M6" s="10"/>
      <c r="N6" s="10"/>
      <c r="O6" s="10" t="s">
        <v>80</v>
      </c>
      <c r="P6" s="14" t="s">
        <v>289</v>
      </c>
    </row>
    <row r="7" customFormat="false" ht="15" hidden="false" customHeight="false" outlineLevel="0" collapsed="false">
      <c r="F7" s="15"/>
      <c r="G7" s="15"/>
      <c r="H7" s="15"/>
      <c r="I7" s="15"/>
      <c r="K7" s="16"/>
    </row>
    <row r="8" customFormat="false" ht="15" hidden="false" customHeight="false" outlineLevel="0" collapsed="false">
      <c r="F8" s="15"/>
      <c r="G8" s="15"/>
      <c r="H8" s="15"/>
      <c r="I8" s="15"/>
      <c r="K8" s="16"/>
    </row>
    <row r="9" customFormat="false" ht="15" hidden="false" customHeight="false" outlineLevel="0" collapsed="false">
      <c r="F9" s="15"/>
      <c r="G9" s="15"/>
      <c r="H9" s="15"/>
      <c r="I9" s="15"/>
      <c r="K9" s="16"/>
    </row>
    <row r="10" customFormat="false" ht="15" hidden="false" customHeight="false" outlineLevel="0" collapsed="false">
      <c r="F10" s="15"/>
      <c r="G10" s="15"/>
      <c r="H10" s="15"/>
      <c r="I10" s="15"/>
      <c r="K10" s="16"/>
    </row>
    <row r="11" customFormat="false" ht="15" hidden="false" customHeight="false" outlineLevel="0" collapsed="false">
      <c r="F11" s="15"/>
      <c r="G11" s="15"/>
      <c r="H11" s="15"/>
      <c r="I11" s="15"/>
      <c r="K11" s="16"/>
    </row>
    <row r="12" customFormat="false" ht="15" hidden="false" customHeight="false" outlineLevel="0" collapsed="false">
      <c r="F12" s="15"/>
      <c r="G12" s="15"/>
      <c r="H12" s="15"/>
      <c r="I12" s="15"/>
      <c r="K12" s="16"/>
    </row>
    <row r="13" customFormat="false" ht="15" hidden="false" customHeight="false" outlineLevel="0" collapsed="false">
      <c r="F13" s="15"/>
      <c r="G13" s="15"/>
      <c r="H13" s="15"/>
      <c r="I13" s="15"/>
      <c r="K13" s="16"/>
    </row>
    <row r="14" customFormat="false" ht="15" hidden="false" customHeight="false" outlineLevel="0" collapsed="false">
      <c r="F14" s="15"/>
      <c r="G14" s="15"/>
      <c r="H14" s="15"/>
      <c r="I14" s="15"/>
      <c r="K14" s="16"/>
    </row>
    <row r="15" customFormat="false" ht="15" hidden="false" customHeight="false" outlineLevel="0" collapsed="false">
      <c r="F15" s="15"/>
      <c r="G15" s="15"/>
      <c r="H15" s="15"/>
      <c r="I15" s="15"/>
      <c r="K15" s="16"/>
    </row>
    <row r="16" customFormat="false" ht="15" hidden="false" customHeight="false" outlineLevel="0" collapsed="false">
      <c r="F16" s="15"/>
      <c r="G16" s="15"/>
      <c r="H16" s="15"/>
      <c r="I16" s="15"/>
      <c r="K16" s="16"/>
    </row>
    <row r="17" customFormat="false" ht="15" hidden="false" customHeight="false" outlineLevel="0" collapsed="false">
      <c r="F17" s="15"/>
      <c r="G17" s="15"/>
      <c r="H17" s="15"/>
      <c r="I17" s="15"/>
      <c r="K17" s="16"/>
    </row>
    <row r="18" customFormat="false" ht="15" hidden="false" customHeight="false" outlineLevel="0" collapsed="false">
      <c r="F18" s="15"/>
      <c r="G18" s="15"/>
      <c r="H18" s="15"/>
      <c r="I18" s="15"/>
      <c r="K18" s="16"/>
    </row>
    <row r="19" customFormat="false" ht="15" hidden="false" customHeight="false" outlineLevel="0" collapsed="false">
      <c r="F19" s="15"/>
      <c r="G19" s="15"/>
      <c r="H19" s="15"/>
      <c r="I19" s="15"/>
      <c r="K19" s="16"/>
    </row>
    <row r="20" customFormat="false" ht="15" hidden="false" customHeight="false" outlineLevel="0" collapsed="false">
      <c r="F20" s="15"/>
      <c r="G20" s="15"/>
      <c r="H20" s="15"/>
      <c r="I20" s="15"/>
      <c r="K20" s="16"/>
    </row>
    <row r="21" customFormat="false" ht="15" hidden="false" customHeight="false" outlineLevel="0" collapsed="false">
      <c r="F21" s="15"/>
      <c r="G21" s="15"/>
      <c r="H21" s="15"/>
      <c r="I21" s="15"/>
      <c r="K21" s="16"/>
    </row>
    <row r="22" customFormat="false" ht="15" hidden="false" customHeight="false" outlineLevel="0" collapsed="false">
      <c r="F22" s="15"/>
      <c r="G22" s="15"/>
      <c r="H22" s="15"/>
      <c r="I22" s="15"/>
      <c r="K22" s="16"/>
    </row>
    <row r="23" customFormat="false" ht="15" hidden="false" customHeight="false" outlineLevel="0" collapsed="false">
      <c r="F23" s="15"/>
      <c r="G23" s="15"/>
      <c r="H23" s="15"/>
      <c r="I23" s="15"/>
      <c r="K23" s="16"/>
    </row>
    <row r="24" customFormat="false" ht="15" hidden="false" customHeight="false" outlineLevel="0" collapsed="false">
      <c r="F24" s="15"/>
      <c r="G24" s="15"/>
      <c r="H24" s="15"/>
      <c r="I24" s="15"/>
      <c r="K24" s="16"/>
    </row>
    <row r="25" customFormat="false" ht="15" hidden="false" customHeight="false" outlineLevel="0" collapsed="false">
      <c r="F25" s="15"/>
      <c r="G25" s="15"/>
      <c r="H25" s="15"/>
      <c r="I25" s="15"/>
      <c r="K25" s="16"/>
    </row>
    <row r="26" customFormat="false" ht="15" hidden="false" customHeight="false" outlineLevel="0" collapsed="false">
      <c r="F26" s="15"/>
      <c r="G26" s="15"/>
      <c r="H26" s="15"/>
      <c r="I26" s="15"/>
      <c r="K26" s="16"/>
    </row>
    <row r="27" customFormat="false" ht="15" hidden="false" customHeight="false" outlineLevel="0" collapsed="false">
      <c r="F27" s="15"/>
      <c r="G27" s="15"/>
      <c r="H27" s="15"/>
      <c r="I27" s="15"/>
      <c r="K27" s="16"/>
    </row>
    <row r="28" customFormat="false" ht="15" hidden="false" customHeight="false" outlineLevel="0" collapsed="false">
      <c r="F28" s="15"/>
      <c r="G28" s="15"/>
      <c r="H28" s="15"/>
      <c r="I28" s="15"/>
      <c r="K28" s="16"/>
    </row>
    <row r="29" customFormat="false" ht="15" hidden="false" customHeight="false" outlineLevel="0" collapsed="false">
      <c r="F29" s="15"/>
      <c r="G29" s="15"/>
      <c r="H29" s="15"/>
      <c r="I29" s="15"/>
      <c r="K29" s="16"/>
    </row>
    <row r="30" customFormat="false" ht="15" hidden="false" customHeight="false" outlineLevel="0" collapsed="false">
      <c r="F30" s="15"/>
      <c r="G30" s="15"/>
      <c r="H30" s="15"/>
      <c r="I30" s="15"/>
      <c r="K30" s="16"/>
    </row>
    <row r="31" customFormat="false" ht="15" hidden="false" customHeight="false" outlineLevel="0" collapsed="false">
      <c r="F31" s="15"/>
      <c r="G31" s="15"/>
      <c r="H31" s="15"/>
      <c r="I31" s="15"/>
      <c r="K31" s="16"/>
    </row>
    <row r="32" customFormat="false" ht="15" hidden="false" customHeight="false" outlineLevel="0" collapsed="false">
      <c r="F32" s="15"/>
      <c r="G32" s="15"/>
      <c r="H32" s="15"/>
      <c r="I32" s="15"/>
      <c r="K32" s="16"/>
    </row>
    <row r="33" customFormat="false" ht="15" hidden="false" customHeight="false" outlineLevel="0" collapsed="false">
      <c r="F33" s="15"/>
      <c r="G33" s="15"/>
      <c r="H33" s="15"/>
      <c r="I33" s="15"/>
      <c r="K33" s="16"/>
    </row>
    <row r="34" customFormat="false" ht="15" hidden="false" customHeight="false" outlineLevel="0" collapsed="false">
      <c r="F34" s="15"/>
      <c r="G34" s="15"/>
      <c r="H34" s="15"/>
      <c r="I34" s="15"/>
      <c r="K34" s="16"/>
    </row>
    <row r="35" customFormat="false" ht="15" hidden="false" customHeight="false" outlineLevel="0" collapsed="false">
      <c r="F35" s="15"/>
      <c r="G35" s="15"/>
      <c r="H35" s="15"/>
      <c r="I35" s="15"/>
      <c r="K35" s="16"/>
    </row>
    <row r="36" customFormat="false" ht="15" hidden="false" customHeight="false" outlineLevel="0" collapsed="false">
      <c r="F36" s="15"/>
      <c r="G36" s="15"/>
      <c r="H36" s="15"/>
      <c r="I36" s="15"/>
      <c r="K36" s="16"/>
    </row>
    <row r="37" customFormat="false" ht="15" hidden="false" customHeight="false" outlineLevel="0" collapsed="false">
      <c r="F37" s="15"/>
      <c r="G37" s="15"/>
      <c r="H37" s="15"/>
      <c r="I37" s="15"/>
      <c r="K37" s="16"/>
    </row>
    <row r="38" customFormat="false" ht="15" hidden="false" customHeight="false" outlineLevel="0" collapsed="false">
      <c r="F38" s="15"/>
      <c r="G38" s="15"/>
      <c r="H38" s="15"/>
      <c r="I38" s="15"/>
      <c r="K38" s="16"/>
    </row>
    <row r="39" customFormat="false" ht="15" hidden="false" customHeight="false" outlineLevel="0" collapsed="false">
      <c r="F39" s="15"/>
      <c r="G39" s="15"/>
      <c r="H39" s="15"/>
      <c r="I39" s="15"/>
      <c r="K39" s="16"/>
    </row>
    <row r="40" customFormat="false" ht="15" hidden="false" customHeight="false" outlineLevel="0" collapsed="false">
      <c r="F40" s="15"/>
      <c r="G40" s="15"/>
      <c r="H40" s="15"/>
      <c r="I40" s="15"/>
      <c r="K40" s="16"/>
    </row>
    <row r="41" customFormat="false" ht="15" hidden="false" customHeight="false" outlineLevel="0" collapsed="false">
      <c r="F41" s="15"/>
      <c r="G41" s="15"/>
      <c r="H41" s="15"/>
      <c r="I41" s="15"/>
      <c r="K41" s="16"/>
    </row>
    <row r="42" customFormat="false" ht="15" hidden="false" customHeight="false" outlineLevel="0" collapsed="false">
      <c r="F42" s="15"/>
      <c r="G42" s="15"/>
      <c r="H42" s="15"/>
      <c r="I42" s="15"/>
      <c r="K42" s="16"/>
    </row>
    <row r="43" customFormat="false" ht="15" hidden="false" customHeight="false" outlineLevel="0" collapsed="false">
      <c r="F43" s="15"/>
      <c r="G43" s="15"/>
      <c r="H43" s="15"/>
      <c r="I43" s="15"/>
      <c r="K43" s="16"/>
    </row>
    <row r="44" customFormat="false" ht="15" hidden="false" customHeight="false" outlineLevel="0" collapsed="false">
      <c r="F44" s="15"/>
      <c r="G44" s="15"/>
      <c r="H44" s="15"/>
      <c r="I44" s="15"/>
      <c r="K44" s="16"/>
    </row>
    <row r="45" customFormat="false" ht="15" hidden="false" customHeight="false" outlineLevel="0" collapsed="false">
      <c r="F45" s="15"/>
      <c r="G45" s="15"/>
      <c r="H45" s="15"/>
      <c r="I45" s="15"/>
      <c r="K45" s="16"/>
    </row>
    <row r="46" customFormat="false" ht="15" hidden="false" customHeight="false" outlineLevel="0" collapsed="false">
      <c r="F46" s="15"/>
      <c r="G46" s="15"/>
      <c r="H46" s="15"/>
      <c r="I46" s="15"/>
      <c r="K46" s="16"/>
    </row>
    <row r="47" customFormat="false" ht="15" hidden="false" customHeight="false" outlineLevel="0" collapsed="false">
      <c r="F47" s="15"/>
      <c r="G47" s="15"/>
      <c r="H47" s="15"/>
      <c r="I47" s="15"/>
      <c r="K47" s="16"/>
    </row>
    <row r="48" customFormat="false" ht="15" hidden="false" customHeight="false" outlineLevel="0" collapsed="false">
      <c r="F48" s="15"/>
      <c r="G48" s="15"/>
      <c r="H48" s="15"/>
      <c r="I48" s="15"/>
      <c r="K48" s="16"/>
    </row>
    <row r="49" customFormat="false" ht="15" hidden="false" customHeight="false" outlineLevel="0" collapsed="false">
      <c r="F49" s="15"/>
      <c r="G49" s="15"/>
      <c r="H49" s="15"/>
      <c r="I49" s="15"/>
      <c r="K49" s="16"/>
    </row>
    <row r="50" customFormat="false" ht="15" hidden="false" customHeight="false" outlineLevel="0" collapsed="false">
      <c r="F50" s="15"/>
      <c r="G50" s="15"/>
      <c r="H50" s="15"/>
      <c r="I50" s="15"/>
      <c r="K50" s="16"/>
    </row>
    <row r="51" customFormat="false" ht="15" hidden="false" customHeight="false" outlineLevel="0" collapsed="false">
      <c r="F51" s="15"/>
      <c r="G51" s="15"/>
      <c r="H51" s="15"/>
      <c r="I51" s="15"/>
      <c r="K51" s="16"/>
    </row>
    <row r="52" customFormat="false" ht="15" hidden="false" customHeight="false" outlineLevel="0" collapsed="false">
      <c r="F52" s="15"/>
      <c r="G52" s="15"/>
      <c r="H52" s="15"/>
      <c r="I52" s="15"/>
      <c r="K52" s="16"/>
    </row>
    <row r="53" customFormat="false" ht="15" hidden="false" customHeight="false" outlineLevel="0" collapsed="false">
      <c r="F53" s="15"/>
      <c r="G53" s="15"/>
      <c r="H53" s="15"/>
      <c r="I53" s="15"/>
      <c r="K53" s="16"/>
    </row>
    <row r="54" customFormat="false" ht="15" hidden="false" customHeight="false" outlineLevel="0" collapsed="false">
      <c r="F54" s="15"/>
      <c r="G54" s="15"/>
      <c r="H54" s="15"/>
      <c r="I54" s="15"/>
      <c r="K54" s="16"/>
    </row>
    <row r="55" customFormat="false" ht="15" hidden="false" customHeight="false" outlineLevel="0" collapsed="false">
      <c r="F55" s="15"/>
      <c r="G55" s="15"/>
      <c r="H55" s="15"/>
      <c r="I55" s="15"/>
      <c r="K55" s="16"/>
    </row>
    <row r="56" customFormat="false" ht="15" hidden="false" customHeight="false" outlineLevel="0" collapsed="false">
      <c r="F56" s="15"/>
      <c r="G56" s="15"/>
      <c r="H56" s="15"/>
      <c r="I56" s="15"/>
      <c r="K56" s="16"/>
    </row>
    <row r="57" customFormat="false" ht="15" hidden="false" customHeight="false" outlineLevel="0" collapsed="false">
      <c r="F57" s="15"/>
      <c r="G57" s="15"/>
      <c r="H57" s="15"/>
      <c r="I57" s="15"/>
      <c r="K57" s="16"/>
    </row>
    <row r="58" customFormat="false" ht="15" hidden="false" customHeight="false" outlineLevel="0" collapsed="false">
      <c r="F58" s="15"/>
      <c r="G58" s="15"/>
      <c r="H58" s="15"/>
      <c r="I58" s="15"/>
      <c r="K58" s="16"/>
    </row>
    <row r="59" customFormat="false" ht="15" hidden="false" customHeight="false" outlineLevel="0" collapsed="false">
      <c r="F59" s="15"/>
      <c r="G59" s="15"/>
      <c r="H59" s="15"/>
      <c r="I59" s="15"/>
      <c r="K59" s="16"/>
    </row>
    <row r="60" customFormat="false" ht="15" hidden="false" customHeight="false" outlineLevel="0" collapsed="false">
      <c r="F60" s="15"/>
      <c r="G60" s="15"/>
      <c r="H60" s="15"/>
      <c r="I60" s="15"/>
      <c r="K60" s="16"/>
    </row>
    <row r="61" customFormat="false" ht="15" hidden="false" customHeight="false" outlineLevel="0" collapsed="false">
      <c r="F61" s="15"/>
      <c r="G61" s="15"/>
      <c r="H61" s="15"/>
      <c r="I61" s="15"/>
      <c r="K61" s="16"/>
    </row>
    <row r="62" customFormat="false" ht="15" hidden="false" customHeight="false" outlineLevel="0" collapsed="false">
      <c r="F62" s="15"/>
      <c r="G62" s="15"/>
      <c r="H62" s="15"/>
      <c r="I62" s="15"/>
      <c r="K62" s="16"/>
    </row>
    <row r="63" customFormat="false" ht="15" hidden="false" customHeight="false" outlineLevel="0" collapsed="false">
      <c r="F63" s="15"/>
      <c r="G63" s="15"/>
      <c r="H63" s="15"/>
      <c r="I63" s="15"/>
      <c r="K63" s="16"/>
    </row>
    <row r="64" customFormat="false" ht="15" hidden="false" customHeight="false" outlineLevel="0" collapsed="false">
      <c r="F64" s="15"/>
      <c r="G64" s="15"/>
      <c r="H64" s="15"/>
      <c r="I64" s="15"/>
      <c r="K64" s="16"/>
    </row>
    <row r="65" customFormat="false" ht="15" hidden="false" customHeight="false" outlineLevel="0" collapsed="false">
      <c r="F65" s="15"/>
      <c r="G65" s="15"/>
      <c r="H65" s="15"/>
      <c r="I65" s="15"/>
      <c r="K65" s="16"/>
    </row>
    <row r="66" customFormat="false" ht="15" hidden="false" customHeight="false" outlineLevel="0" collapsed="false">
      <c r="F66" s="15"/>
      <c r="G66" s="15"/>
      <c r="H66" s="15"/>
      <c r="I66" s="15"/>
      <c r="K66" s="16"/>
    </row>
    <row r="67" customFormat="false" ht="15" hidden="false" customHeight="false" outlineLevel="0" collapsed="false">
      <c r="F67" s="15"/>
      <c r="G67" s="15"/>
      <c r="H67" s="15"/>
      <c r="I67" s="15"/>
      <c r="K67" s="16"/>
    </row>
    <row r="68" customFormat="false" ht="15" hidden="false" customHeight="false" outlineLevel="0" collapsed="false">
      <c r="F68" s="15"/>
      <c r="G68" s="15"/>
      <c r="H68" s="15"/>
      <c r="I68" s="15"/>
      <c r="K68" s="16"/>
    </row>
    <row r="69" customFormat="false" ht="15" hidden="false" customHeight="false" outlineLevel="0" collapsed="false">
      <c r="F69" s="15"/>
      <c r="G69" s="15"/>
      <c r="H69" s="15"/>
      <c r="I69" s="15"/>
      <c r="K69" s="16"/>
    </row>
    <row r="70" customFormat="false" ht="15" hidden="false" customHeight="false" outlineLevel="0" collapsed="false">
      <c r="F70" s="15"/>
      <c r="G70" s="15"/>
      <c r="H70" s="15"/>
      <c r="I70" s="15"/>
      <c r="K70" s="16"/>
    </row>
    <row r="71" customFormat="false" ht="15" hidden="false" customHeight="false" outlineLevel="0" collapsed="false">
      <c r="F71" s="15"/>
      <c r="G71" s="15"/>
      <c r="H71" s="15"/>
      <c r="I71" s="15"/>
      <c r="K71" s="16"/>
    </row>
    <row r="72" customFormat="false" ht="15" hidden="false" customHeight="false" outlineLevel="0" collapsed="false">
      <c r="F72" s="15"/>
      <c r="G72" s="15"/>
      <c r="H72" s="15"/>
      <c r="I72" s="15"/>
      <c r="K72" s="16"/>
    </row>
    <row r="73" customFormat="false" ht="15" hidden="false" customHeight="false" outlineLevel="0" collapsed="false">
      <c r="F73" s="15"/>
      <c r="G73" s="15"/>
      <c r="H73" s="15"/>
      <c r="I73" s="15"/>
      <c r="K73" s="16"/>
    </row>
    <row r="74" customFormat="false" ht="15" hidden="false" customHeight="false" outlineLevel="0" collapsed="false">
      <c r="F74" s="15"/>
      <c r="G74" s="15"/>
      <c r="H74" s="15"/>
      <c r="I74" s="15"/>
      <c r="K74" s="16"/>
    </row>
    <row r="75" customFormat="false" ht="15" hidden="false" customHeight="false" outlineLevel="0" collapsed="false">
      <c r="F75" s="15"/>
      <c r="G75" s="15"/>
      <c r="H75" s="15"/>
      <c r="I75" s="15"/>
      <c r="K75" s="16"/>
    </row>
    <row r="76" customFormat="false" ht="15" hidden="false" customHeight="false" outlineLevel="0" collapsed="false">
      <c r="F76" s="15"/>
      <c r="G76" s="15"/>
      <c r="H76" s="15"/>
      <c r="I76" s="15"/>
      <c r="K76" s="16"/>
    </row>
    <row r="77" customFormat="false" ht="15" hidden="false" customHeight="false" outlineLevel="0" collapsed="false">
      <c r="F77" s="15"/>
      <c r="G77" s="15"/>
      <c r="H77" s="15"/>
      <c r="I77" s="15"/>
      <c r="K77" s="16"/>
    </row>
    <row r="78" customFormat="false" ht="15" hidden="false" customHeight="false" outlineLevel="0" collapsed="false">
      <c r="F78" s="15"/>
      <c r="G78" s="15"/>
      <c r="H78" s="15"/>
      <c r="I78" s="15"/>
      <c r="K78" s="16"/>
    </row>
    <row r="79" customFormat="false" ht="15" hidden="false" customHeight="false" outlineLevel="0" collapsed="false">
      <c r="F79" s="15"/>
      <c r="G79" s="15"/>
      <c r="H79" s="15"/>
      <c r="I79" s="15"/>
      <c r="K79" s="16"/>
    </row>
    <row r="80" customFormat="false" ht="15" hidden="false" customHeight="false" outlineLevel="0" collapsed="false">
      <c r="F80" s="15"/>
      <c r="G80" s="15"/>
      <c r="H80" s="15"/>
      <c r="I80" s="15"/>
      <c r="K80" s="16"/>
    </row>
    <row r="81" customFormat="false" ht="15" hidden="false" customHeight="false" outlineLevel="0" collapsed="false">
      <c r="F81" s="15"/>
      <c r="G81" s="15"/>
      <c r="H81" s="15"/>
      <c r="I81" s="15"/>
      <c r="K81" s="16"/>
    </row>
    <row r="82" customFormat="false" ht="15" hidden="false" customHeight="false" outlineLevel="0" collapsed="false">
      <c r="F82" s="15"/>
      <c r="G82" s="15"/>
      <c r="H82" s="15"/>
      <c r="I82" s="15"/>
      <c r="K82" s="16"/>
    </row>
    <row r="83" customFormat="false" ht="15" hidden="false" customHeight="false" outlineLevel="0" collapsed="false">
      <c r="F83" s="15"/>
      <c r="G83" s="15"/>
      <c r="H83" s="15"/>
      <c r="I83" s="15"/>
      <c r="K83" s="16"/>
    </row>
    <row r="84" customFormat="false" ht="15" hidden="false" customHeight="false" outlineLevel="0" collapsed="false">
      <c r="F84" s="15"/>
      <c r="G84" s="15"/>
      <c r="H84" s="15"/>
      <c r="I84" s="15"/>
      <c r="K84" s="16"/>
    </row>
    <row r="85" customFormat="false" ht="15" hidden="false" customHeight="false" outlineLevel="0" collapsed="false">
      <c r="F85" s="15"/>
      <c r="G85" s="15"/>
      <c r="H85" s="15"/>
      <c r="I85" s="15"/>
      <c r="K85" s="16"/>
    </row>
    <row r="86" customFormat="false" ht="15" hidden="false" customHeight="false" outlineLevel="0" collapsed="false">
      <c r="F86" s="15"/>
      <c r="G86" s="15"/>
      <c r="H86" s="15"/>
      <c r="I86" s="15"/>
      <c r="K86" s="16"/>
    </row>
    <row r="87" customFormat="false" ht="15" hidden="false" customHeight="false" outlineLevel="0" collapsed="false">
      <c r="F87" s="15"/>
      <c r="G87" s="15"/>
      <c r="H87" s="15"/>
      <c r="I87" s="15"/>
      <c r="K87" s="16"/>
    </row>
    <row r="88" customFormat="false" ht="15" hidden="false" customHeight="false" outlineLevel="0" collapsed="false">
      <c r="F88" s="15"/>
      <c r="G88" s="15"/>
      <c r="H88" s="15"/>
      <c r="I88" s="15"/>
      <c r="K88" s="16"/>
    </row>
    <row r="89" customFormat="false" ht="15" hidden="false" customHeight="false" outlineLevel="0" collapsed="false">
      <c r="F89" s="15"/>
      <c r="G89" s="15"/>
      <c r="H89" s="15"/>
      <c r="I89" s="15"/>
      <c r="K89" s="16"/>
    </row>
    <row r="90" customFormat="false" ht="15" hidden="false" customHeight="false" outlineLevel="0" collapsed="false">
      <c r="F90" s="15"/>
      <c r="G90" s="15"/>
      <c r="H90" s="15"/>
      <c r="I90" s="15"/>
      <c r="K90" s="16"/>
    </row>
    <row r="91" customFormat="false" ht="15" hidden="false" customHeight="false" outlineLevel="0" collapsed="false">
      <c r="F91" s="15"/>
      <c r="G91" s="15"/>
      <c r="H91" s="15"/>
      <c r="I91" s="15"/>
      <c r="K91" s="16"/>
    </row>
    <row r="92" customFormat="false" ht="15" hidden="false" customHeight="false" outlineLevel="0" collapsed="false">
      <c r="F92" s="15"/>
      <c r="G92" s="15"/>
      <c r="H92" s="15"/>
      <c r="I92" s="15"/>
      <c r="K92" s="16"/>
    </row>
    <row r="93" customFormat="false" ht="15" hidden="false" customHeight="false" outlineLevel="0" collapsed="false">
      <c r="F93" s="15"/>
      <c r="G93" s="15"/>
      <c r="H93" s="15"/>
      <c r="I93" s="15"/>
      <c r="K93" s="16"/>
    </row>
    <row r="94" customFormat="false" ht="15" hidden="false" customHeight="false" outlineLevel="0" collapsed="false">
      <c r="F94" s="15"/>
      <c r="G94" s="15"/>
      <c r="H94" s="15"/>
      <c r="I94" s="15"/>
      <c r="K94" s="16"/>
    </row>
    <row r="95" customFormat="false" ht="15" hidden="false" customHeight="false" outlineLevel="0" collapsed="false">
      <c r="F95" s="15"/>
      <c r="G95" s="15"/>
      <c r="H95" s="15"/>
      <c r="I95" s="15"/>
      <c r="K95" s="16"/>
    </row>
    <row r="96" customFormat="false" ht="15" hidden="false" customHeight="false" outlineLevel="0" collapsed="false">
      <c r="F96" s="15"/>
      <c r="G96" s="15"/>
      <c r="H96" s="15"/>
      <c r="I96" s="15"/>
      <c r="K96" s="16"/>
    </row>
    <row r="97" customFormat="false" ht="15" hidden="false" customHeight="false" outlineLevel="0" collapsed="false">
      <c r="F97" s="15"/>
      <c r="G97" s="15"/>
      <c r="H97" s="15"/>
      <c r="I97" s="15"/>
      <c r="K97" s="16"/>
    </row>
    <row r="98" customFormat="false" ht="15" hidden="false" customHeight="false" outlineLevel="0" collapsed="false">
      <c r="F98" s="15"/>
      <c r="G98" s="15"/>
      <c r="H98" s="15"/>
      <c r="I98" s="15"/>
      <c r="K98" s="16"/>
    </row>
    <row r="99" customFormat="false" ht="15" hidden="false" customHeight="false" outlineLevel="0" collapsed="false">
      <c r="F99" s="15"/>
      <c r="G99" s="15"/>
      <c r="H99" s="15"/>
      <c r="I99" s="15"/>
      <c r="K99" s="16"/>
    </row>
    <row r="100" customFormat="false" ht="15" hidden="false" customHeight="false" outlineLevel="0" collapsed="false">
      <c r="F100" s="15"/>
      <c r="G100" s="15"/>
      <c r="H100" s="15"/>
      <c r="I100" s="15"/>
      <c r="K100" s="16"/>
    </row>
    <row r="101" customFormat="false" ht="15" hidden="false" customHeight="false" outlineLevel="0" collapsed="false">
      <c r="F101" s="15"/>
      <c r="G101" s="15"/>
      <c r="H101" s="15"/>
      <c r="I101" s="15"/>
      <c r="K101" s="16"/>
    </row>
    <row r="102" customFormat="false" ht="15" hidden="false" customHeight="false" outlineLevel="0" collapsed="false">
      <c r="F102" s="15"/>
      <c r="G102" s="15"/>
      <c r="H102" s="15"/>
      <c r="I102" s="15"/>
      <c r="K102" s="16"/>
    </row>
    <row r="103" customFormat="false" ht="15" hidden="false" customHeight="false" outlineLevel="0" collapsed="false">
      <c r="F103" s="15"/>
      <c r="G103" s="15"/>
      <c r="H103" s="15"/>
      <c r="I103" s="15"/>
      <c r="K103" s="16"/>
    </row>
    <row r="104" customFormat="false" ht="15" hidden="false" customHeight="false" outlineLevel="0" collapsed="false">
      <c r="F104" s="15"/>
      <c r="G104" s="15"/>
      <c r="H104" s="15"/>
      <c r="I104" s="15"/>
      <c r="K104" s="16"/>
    </row>
    <row r="105" customFormat="false" ht="15" hidden="false" customHeight="false" outlineLevel="0" collapsed="false">
      <c r="F105" s="15"/>
      <c r="G105" s="15"/>
      <c r="H105" s="15"/>
      <c r="I105" s="15"/>
      <c r="K105" s="16"/>
    </row>
    <row r="106" customFormat="false" ht="15" hidden="false" customHeight="false" outlineLevel="0" collapsed="false">
      <c r="F106" s="15"/>
      <c r="G106" s="15"/>
      <c r="H106" s="15"/>
      <c r="I106" s="15"/>
      <c r="K106" s="16"/>
    </row>
    <row r="107" customFormat="false" ht="15" hidden="false" customHeight="false" outlineLevel="0" collapsed="false">
      <c r="F107" s="15"/>
      <c r="G107" s="15"/>
      <c r="H107" s="15"/>
      <c r="I107" s="15"/>
      <c r="K107" s="16"/>
    </row>
    <row r="108" customFormat="false" ht="15" hidden="false" customHeight="false" outlineLevel="0" collapsed="false">
      <c r="F108" s="15"/>
      <c r="G108" s="15"/>
      <c r="H108" s="15"/>
      <c r="I108" s="15"/>
      <c r="K108" s="16"/>
    </row>
    <row r="109" customFormat="false" ht="15" hidden="false" customHeight="false" outlineLevel="0" collapsed="false">
      <c r="F109" s="15"/>
      <c r="G109" s="15"/>
      <c r="H109" s="15"/>
      <c r="I109" s="15"/>
      <c r="K109" s="16"/>
    </row>
    <row r="110" customFormat="false" ht="15" hidden="false" customHeight="false" outlineLevel="0" collapsed="false">
      <c r="F110" s="15"/>
      <c r="G110" s="15"/>
      <c r="H110" s="15"/>
      <c r="I110" s="15"/>
      <c r="K110" s="16"/>
    </row>
    <row r="111" customFormat="false" ht="15" hidden="false" customHeight="false" outlineLevel="0" collapsed="false">
      <c r="F111" s="15"/>
      <c r="G111" s="15"/>
      <c r="H111" s="15"/>
      <c r="I111" s="15"/>
      <c r="K111" s="16"/>
    </row>
    <row r="112" customFormat="false" ht="15" hidden="false" customHeight="false" outlineLevel="0" collapsed="false">
      <c r="F112" s="15"/>
      <c r="G112" s="15"/>
      <c r="H112" s="15"/>
      <c r="I112" s="15"/>
      <c r="K112" s="16"/>
    </row>
    <row r="113" customFormat="false" ht="15" hidden="false" customHeight="false" outlineLevel="0" collapsed="false">
      <c r="F113" s="15"/>
      <c r="G113" s="15"/>
      <c r="H113" s="15"/>
      <c r="I113" s="15"/>
      <c r="K113" s="16"/>
    </row>
    <row r="114" customFormat="false" ht="15" hidden="false" customHeight="false" outlineLevel="0" collapsed="false">
      <c r="F114" s="15"/>
      <c r="G114" s="15"/>
      <c r="H114" s="15"/>
      <c r="I114" s="15"/>
      <c r="K114" s="16"/>
    </row>
    <row r="115" customFormat="false" ht="15" hidden="false" customHeight="false" outlineLevel="0" collapsed="false">
      <c r="F115" s="15"/>
      <c r="G115" s="15"/>
      <c r="H115" s="15"/>
      <c r="I115" s="15"/>
      <c r="K115" s="16"/>
    </row>
    <row r="116" customFormat="false" ht="15" hidden="false" customHeight="false" outlineLevel="0" collapsed="false">
      <c r="F116" s="15"/>
      <c r="G116" s="15"/>
      <c r="H116" s="15"/>
      <c r="I116" s="15"/>
      <c r="K116" s="16"/>
    </row>
    <row r="117" customFormat="false" ht="15" hidden="false" customHeight="false" outlineLevel="0" collapsed="false">
      <c r="F117" s="15"/>
      <c r="G117" s="15"/>
      <c r="H117" s="15"/>
      <c r="I117" s="15"/>
      <c r="K117" s="16"/>
    </row>
    <row r="118" customFormat="false" ht="15" hidden="false" customHeight="false" outlineLevel="0" collapsed="false">
      <c r="F118" s="15"/>
      <c r="G118" s="15"/>
      <c r="H118" s="15"/>
      <c r="I118" s="15"/>
      <c r="K118" s="16"/>
    </row>
    <row r="119" customFormat="false" ht="15" hidden="false" customHeight="false" outlineLevel="0" collapsed="false">
      <c r="F119" s="15"/>
      <c r="G119" s="15"/>
      <c r="H119" s="15"/>
      <c r="I119" s="15"/>
      <c r="K119" s="16"/>
    </row>
    <row r="120" customFormat="false" ht="15" hidden="false" customHeight="false" outlineLevel="0" collapsed="false">
      <c r="F120" s="15"/>
      <c r="G120" s="15"/>
      <c r="H120" s="15"/>
      <c r="I120" s="15"/>
      <c r="K120" s="16"/>
    </row>
    <row r="121" customFormat="false" ht="15" hidden="false" customHeight="false" outlineLevel="0" collapsed="false">
      <c r="F121" s="15"/>
      <c r="G121" s="15"/>
      <c r="H121" s="15"/>
      <c r="I121" s="15"/>
      <c r="K121" s="16"/>
    </row>
    <row r="122" customFormat="false" ht="15" hidden="false" customHeight="false" outlineLevel="0" collapsed="false">
      <c r="F122" s="15"/>
      <c r="G122" s="15"/>
      <c r="H122" s="15"/>
      <c r="I122" s="15"/>
      <c r="K122" s="16"/>
    </row>
    <row r="123" customFormat="false" ht="15" hidden="false" customHeight="false" outlineLevel="0" collapsed="false">
      <c r="F123" s="15"/>
      <c r="G123" s="15"/>
      <c r="H123" s="15"/>
      <c r="I123" s="15"/>
      <c r="K123" s="16"/>
    </row>
    <row r="124" customFormat="false" ht="15" hidden="false" customHeight="false" outlineLevel="0" collapsed="false">
      <c r="F124" s="15"/>
      <c r="G124" s="15"/>
      <c r="H124" s="15"/>
      <c r="I124" s="15"/>
      <c r="K124" s="16"/>
    </row>
    <row r="125" customFormat="false" ht="15" hidden="false" customHeight="false" outlineLevel="0" collapsed="false">
      <c r="F125" s="15"/>
      <c r="G125" s="15"/>
      <c r="H125" s="15"/>
      <c r="I125" s="15"/>
      <c r="K125" s="16"/>
    </row>
    <row r="126" customFormat="false" ht="15" hidden="false" customHeight="false" outlineLevel="0" collapsed="false">
      <c r="F126" s="15"/>
      <c r="G126" s="15"/>
      <c r="H126" s="15"/>
      <c r="I126" s="15"/>
      <c r="K126" s="16"/>
    </row>
    <row r="127" customFormat="false" ht="15" hidden="false" customHeight="false" outlineLevel="0" collapsed="false">
      <c r="F127" s="15"/>
      <c r="G127" s="15"/>
      <c r="H127" s="15"/>
      <c r="I127" s="15"/>
      <c r="K127" s="16"/>
    </row>
    <row r="128" customFormat="false" ht="15" hidden="false" customHeight="false" outlineLevel="0" collapsed="false">
      <c r="F128" s="15"/>
      <c r="G128" s="15"/>
      <c r="H128" s="15"/>
      <c r="I128" s="15"/>
      <c r="K128" s="16"/>
    </row>
    <row r="129" customFormat="false" ht="15" hidden="false" customHeight="false" outlineLevel="0" collapsed="false">
      <c r="F129" s="15"/>
      <c r="G129" s="15"/>
      <c r="H129" s="15"/>
      <c r="I129" s="15"/>
      <c r="K129" s="16"/>
    </row>
    <row r="130" customFormat="false" ht="15" hidden="false" customHeight="false" outlineLevel="0" collapsed="false">
      <c r="F130" s="15"/>
      <c r="G130" s="15"/>
      <c r="H130" s="15"/>
      <c r="I130" s="15"/>
      <c r="K130" s="16"/>
    </row>
    <row r="131" customFormat="false" ht="15" hidden="false" customHeight="false" outlineLevel="0" collapsed="false">
      <c r="F131" s="15"/>
      <c r="G131" s="15"/>
      <c r="H131" s="15"/>
      <c r="I131" s="15"/>
      <c r="K131" s="16"/>
    </row>
    <row r="132" customFormat="false" ht="15" hidden="false" customHeight="false" outlineLevel="0" collapsed="false">
      <c r="F132" s="15"/>
      <c r="G132" s="15"/>
      <c r="H132" s="15"/>
      <c r="I132" s="15"/>
      <c r="K132" s="16"/>
    </row>
    <row r="133" customFormat="false" ht="15" hidden="false" customHeight="false" outlineLevel="0" collapsed="false">
      <c r="F133" s="15"/>
      <c r="G133" s="15"/>
      <c r="H133" s="15"/>
      <c r="I133" s="15"/>
      <c r="K133" s="16"/>
    </row>
    <row r="134" customFormat="false" ht="15" hidden="false" customHeight="false" outlineLevel="0" collapsed="false">
      <c r="F134" s="15"/>
      <c r="G134" s="15"/>
      <c r="H134" s="15"/>
      <c r="I134" s="15"/>
      <c r="K134" s="16"/>
    </row>
    <row r="135" customFormat="false" ht="15" hidden="false" customHeight="false" outlineLevel="0" collapsed="false">
      <c r="F135" s="15"/>
      <c r="G135" s="15"/>
      <c r="H135" s="15"/>
      <c r="I135" s="15"/>
      <c r="K135" s="16"/>
    </row>
    <row r="136" customFormat="false" ht="15" hidden="false" customHeight="false" outlineLevel="0" collapsed="false">
      <c r="F136" s="15"/>
      <c r="G136" s="15"/>
      <c r="H136" s="15"/>
      <c r="I136" s="15"/>
      <c r="K136" s="16"/>
    </row>
    <row r="137" customFormat="false" ht="15" hidden="false" customHeight="false" outlineLevel="0" collapsed="false">
      <c r="F137" s="15"/>
      <c r="G137" s="15"/>
      <c r="H137" s="15"/>
      <c r="I137" s="15"/>
      <c r="K137" s="16"/>
    </row>
    <row r="138" customFormat="false" ht="15" hidden="false" customHeight="false" outlineLevel="0" collapsed="false">
      <c r="F138" s="15"/>
      <c r="G138" s="15"/>
      <c r="H138" s="15"/>
      <c r="I138" s="15"/>
      <c r="K138" s="16"/>
    </row>
    <row r="139" customFormat="false" ht="15" hidden="false" customHeight="false" outlineLevel="0" collapsed="false">
      <c r="F139" s="15"/>
      <c r="G139" s="15"/>
      <c r="H139" s="15"/>
      <c r="I139" s="15"/>
      <c r="K139" s="16"/>
    </row>
    <row r="140" customFormat="false" ht="15" hidden="false" customHeight="false" outlineLevel="0" collapsed="false">
      <c r="F140" s="15"/>
      <c r="G140" s="15"/>
      <c r="H140" s="15"/>
      <c r="I140" s="15"/>
      <c r="K140" s="16"/>
    </row>
    <row r="141" customFormat="false" ht="15" hidden="false" customHeight="false" outlineLevel="0" collapsed="false">
      <c r="F141" s="15"/>
      <c r="G141" s="15"/>
      <c r="H141" s="15"/>
      <c r="I141" s="15"/>
      <c r="K141" s="16"/>
    </row>
    <row r="142" customFormat="false" ht="15" hidden="false" customHeight="false" outlineLevel="0" collapsed="false">
      <c r="F142" s="15"/>
      <c r="G142" s="15"/>
      <c r="H142" s="15"/>
      <c r="I142" s="15"/>
      <c r="K142" s="16"/>
    </row>
    <row r="143" customFormat="false" ht="15" hidden="false" customHeight="false" outlineLevel="0" collapsed="false">
      <c r="F143" s="15"/>
      <c r="G143" s="15"/>
      <c r="H143" s="15"/>
      <c r="I143" s="15"/>
      <c r="K143" s="16"/>
    </row>
    <row r="144" customFormat="false" ht="15" hidden="false" customHeight="false" outlineLevel="0" collapsed="false">
      <c r="F144" s="15"/>
      <c r="G144" s="15"/>
      <c r="H144" s="15"/>
      <c r="I144" s="15"/>
      <c r="K144" s="16"/>
    </row>
    <row r="145" customFormat="false" ht="15" hidden="false" customHeight="false" outlineLevel="0" collapsed="false">
      <c r="F145" s="15"/>
      <c r="G145" s="15"/>
      <c r="H145" s="15"/>
      <c r="I145" s="15"/>
      <c r="K145" s="16"/>
    </row>
    <row r="146" customFormat="false" ht="15" hidden="false" customHeight="false" outlineLevel="0" collapsed="false">
      <c r="F146" s="15"/>
      <c r="G146" s="15"/>
      <c r="H146" s="15"/>
      <c r="I146" s="15"/>
      <c r="K146" s="16"/>
    </row>
    <row r="147" customFormat="false" ht="15" hidden="false" customHeight="false" outlineLevel="0" collapsed="false">
      <c r="F147" s="15"/>
      <c r="G147" s="15"/>
      <c r="H147" s="15"/>
      <c r="I147" s="15"/>
      <c r="K147" s="16"/>
    </row>
    <row r="148" customFormat="false" ht="15" hidden="false" customHeight="false" outlineLevel="0" collapsed="false">
      <c r="F148" s="15"/>
      <c r="G148" s="15"/>
      <c r="H148" s="15"/>
      <c r="I148" s="15"/>
      <c r="K148" s="16"/>
    </row>
    <row r="149" customFormat="false" ht="15" hidden="false" customHeight="false" outlineLevel="0" collapsed="false">
      <c r="F149" s="15"/>
      <c r="G149" s="15"/>
      <c r="H149" s="15"/>
      <c r="I149" s="15"/>
      <c r="K149" s="16"/>
    </row>
    <row r="150" customFormat="false" ht="15" hidden="false" customHeight="false" outlineLevel="0" collapsed="false">
      <c r="F150" s="15"/>
      <c r="G150" s="15"/>
      <c r="H150" s="15"/>
      <c r="I150" s="15"/>
      <c r="K150" s="16"/>
    </row>
    <row r="151" customFormat="false" ht="15" hidden="false" customHeight="false" outlineLevel="0" collapsed="false">
      <c r="F151" s="15"/>
      <c r="G151" s="15"/>
      <c r="H151" s="15"/>
      <c r="I151" s="15"/>
      <c r="K151" s="16"/>
    </row>
    <row r="152" customFormat="false" ht="15" hidden="false" customHeight="false" outlineLevel="0" collapsed="false">
      <c r="F152" s="15"/>
      <c r="G152" s="15"/>
      <c r="H152" s="15"/>
      <c r="I152" s="15"/>
      <c r="K152" s="16"/>
    </row>
    <row r="153" customFormat="false" ht="15" hidden="false" customHeight="false" outlineLevel="0" collapsed="false">
      <c r="F153" s="15"/>
      <c r="G153" s="15"/>
      <c r="H153" s="15"/>
      <c r="I153" s="15"/>
      <c r="K153" s="16"/>
    </row>
    <row r="154" customFormat="false" ht="15" hidden="false" customHeight="false" outlineLevel="0" collapsed="false">
      <c r="F154" s="15"/>
      <c r="G154" s="15"/>
      <c r="H154" s="15"/>
      <c r="I154" s="15"/>
      <c r="K154" s="16"/>
    </row>
    <row r="155" customFormat="false" ht="15" hidden="false" customHeight="false" outlineLevel="0" collapsed="false">
      <c r="F155" s="15"/>
      <c r="G155" s="15"/>
      <c r="H155" s="15"/>
      <c r="I155" s="15"/>
      <c r="K155" s="16"/>
    </row>
    <row r="156" customFormat="false" ht="15" hidden="false" customHeight="false" outlineLevel="0" collapsed="false">
      <c r="F156" s="15"/>
      <c r="G156" s="15"/>
      <c r="H156" s="15"/>
      <c r="I156" s="15"/>
      <c r="K156" s="16"/>
    </row>
    <row r="157" customFormat="false" ht="15" hidden="false" customHeight="false" outlineLevel="0" collapsed="false">
      <c r="F157" s="15"/>
      <c r="G157" s="15"/>
      <c r="H157" s="15"/>
      <c r="I157" s="15"/>
      <c r="K157" s="16"/>
    </row>
    <row r="158" customFormat="false" ht="15" hidden="false" customHeight="false" outlineLevel="0" collapsed="false">
      <c r="F158" s="15"/>
      <c r="G158" s="15"/>
      <c r="H158" s="15"/>
      <c r="I158" s="15"/>
      <c r="K158" s="16"/>
    </row>
    <row r="159" customFormat="false" ht="15" hidden="false" customHeight="false" outlineLevel="0" collapsed="false">
      <c r="F159" s="15"/>
      <c r="G159" s="15"/>
      <c r="H159" s="15"/>
      <c r="I159" s="15"/>
      <c r="K159" s="16"/>
    </row>
    <row r="160" customFormat="false" ht="15" hidden="false" customHeight="false" outlineLevel="0" collapsed="false">
      <c r="F160" s="15"/>
      <c r="G160" s="15"/>
      <c r="H160" s="15"/>
      <c r="I160" s="15"/>
      <c r="K160" s="16"/>
    </row>
    <row r="161" customFormat="false" ht="15" hidden="false" customHeight="false" outlineLevel="0" collapsed="false">
      <c r="F161" s="15"/>
      <c r="G161" s="15"/>
      <c r="H161" s="15"/>
      <c r="I161" s="15"/>
      <c r="K161" s="16"/>
    </row>
    <row r="162" customFormat="false" ht="15" hidden="false" customHeight="false" outlineLevel="0" collapsed="false">
      <c r="F162" s="15"/>
      <c r="G162" s="15"/>
      <c r="H162" s="15"/>
      <c r="I162" s="15"/>
      <c r="K162" s="16"/>
    </row>
    <row r="163" customFormat="false" ht="15" hidden="false" customHeight="false" outlineLevel="0" collapsed="false">
      <c r="F163" s="15"/>
      <c r="G163" s="15"/>
      <c r="H163" s="15"/>
      <c r="I163" s="15"/>
      <c r="K163" s="16"/>
    </row>
    <row r="164" customFormat="false" ht="15" hidden="false" customHeight="false" outlineLevel="0" collapsed="false">
      <c r="F164" s="15"/>
      <c r="G164" s="15"/>
      <c r="H164" s="15"/>
      <c r="I164" s="15"/>
      <c r="K164" s="16"/>
    </row>
    <row r="165" customFormat="false" ht="15" hidden="false" customHeight="false" outlineLevel="0" collapsed="false">
      <c r="F165" s="15"/>
      <c r="G165" s="15"/>
      <c r="H165" s="15"/>
      <c r="I165" s="15"/>
      <c r="K165" s="16"/>
    </row>
    <row r="166" customFormat="false" ht="15" hidden="false" customHeight="false" outlineLevel="0" collapsed="false">
      <c r="F166" s="15"/>
      <c r="G166" s="15"/>
      <c r="H166" s="15"/>
      <c r="I166" s="15"/>
      <c r="K166" s="16"/>
    </row>
    <row r="167" customFormat="false" ht="15" hidden="false" customHeight="false" outlineLevel="0" collapsed="false">
      <c r="F167" s="15"/>
      <c r="G167" s="15"/>
      <c r="H167" s="15"/>
      <c r="I167" s="15"/>
      <c r="K167" s="16"/>
    </row>
    <row r="168" customFormat="false" ht="15" hidden="false" customHeight="false" outlineLevel="0" collapsed="false">
      <c r="F168" s="15"/>
      <c r="G168" s="15"/>
      <c r="H168" s="15"/>
      <c r="I168" s="15"/>
      <c r="K168" s="16"/>
    </row>
    <row r="169" customFormat="false" ht="15" hidden="false" customHeight="false" outlineLevel="0" collapsed="false">
      <c r="F169" s="15"/>
      <c r="G169" s="15"/>
      <c r="H169" s="15"/>
      <c r="I169" s="15"/>
      <c r="K169" s="16"/>
    </row>
    <row r="170" customFormat="false" ht="15" hidden="false" customHeight="false" outlineLevel="0" collapsed="false">
      <c r="F170" s="15"/>
      <c r="G170" s="15"/>
      <c r="H170" s="15"/>
      <c r="I170" s="15"/>
      <c r="K170" s="16"/>
    </row>
    <row r="171" customFormat="false" ht="15" hidden="false" customHeight="false" outlineLevel="0" collapsed="false">
      <c r="F171" s="15"/>
      <c r="G171" s="15"/>
      <c r="H171" s="15"/>
      <c r="I171" s="15"/>
      <c r="K171" s="16"/>
    </row>
    <row r="172" customFormat="false" ht="15" hidden="false" customHeight="false" outlineLevel="0" collapsed="false">
      <c r="F172" s="15"/>
      <c r="G172" s="15"/>
      <c r="H172" s="15"/>
      <c r="I172" s="15"/>
      <c r="K172" s="16"/>
    </row>
    <row r="173" customFormat="false" ht="15" hidden="false" customHeight="false" outlineLevel="0" collapsed="false">
      <c r="F173" s="15"/>
      <c r="G173" s="15"/>
      <c r="H173" s="15"/>
      <c r="I173" s="15"/>
      <c r="K173" s="16"/>
    </row>
    <row r="174" customFormat="false" ht="15" hidden="false" customHeight="false" outlineLevel="0" collapsed="false">
      <c r="F174" s="15"/>
      <c r="G174" s="15"/>
      <c r="H174" s="15"/>
      <c r="I174" s="15"/>
      <c r="K174" s="16"/>
    </row>
    <row r="175" customFormat="false" ht="15" hidden="false" customHeight="false" outlineLevel="0" collapsed="false">
      <c r="F175" s="15"/>
      <c r="G175" s="15"/>
      <c r="H175" s="15"/>
      <c r="I175" s="15"/>
      <c r="K175" s="16"/>
    </row>
    <row r="176" customFormat="false" ht="15" hidden="false" customHeight="false" outlineLevel="0" collapsed="false">
      <c r="F176" s="15"/>
      <c r="G176" s="15"/>
      <c r="H176" s="15"/>
      <c r="I176" s="15"/>
      <c r="K176" s="16"/>
    </row>
    <row r="177" customFormat="false" ht="15" hidden="false" customHeight="false" outlineLevel="0" collapsed="false">
      <c r="F177" s="15"/>
      <c r="G177" s="15"/>
      <c r="H177" s="15"/>
      <c r="I177" s="15"/>
      <c r="K177" s="16"/>
    </row>
    <row r="178" customFormat="false" ht="15" hidden="false" customHeight="false" outlineLevel="0" collapsed="false">
      <c r="F178" s="15"/>
      <c r="G178" s="15"/>
      <c r="H178" s="15"/>
      <c r="I178" s="15"/>
      <c r="K178" s="16"/>
    </row>
    <row r="179" customFormat="false" ht="15" hidden="false" customHeight="false" outlineLevel="0" collapsed="false">
      <c r="F179" s="15"/>
      <c r="G179" s="15"/>
      <c r="H179" s="15"/>
      <c r="I179" s="15"/>
      <c r="K179" s="16"/>
    </row>
    <row r="180" customFormat="false" ht="15" hidden="false" customHeight="false" outlineLevel="0" collapsed="false">
      <c r="F180" s="15"/>
      <c r="G180" s="15"/>
      <c r="H180" s="15"/>
      <c r="I180" s="15"/>
      <c r="K180" s="16"/>
    </row>
    <row r="181" customFormat="false" ht="15" hidden="false" customHeight="false" outlineLevel="0" collapsed="false">
      <c r="F181" s="15"/>
      <c r="G181" s="15"/>
      <c r="H181" s="15"/>
      <c r="I181" s="15"/>
      <c r="K181" s="16"/>
    </row>
    <row r="182" customFormat="false" ht="15" hidden="false" customHeight="false" outlineLevel="0" collapsed="false">
      <c r="F182" s="15"/>
      <c r="G182" s="15"/>
      <c r="H182" s="15"/>
      <c r="I182" s="15"/>
      <c r="K182" s="16"/>
    </row>
    <row r="183" customFormat="false" ht="15" hidden="false" customHeight="false" outlineLevel="0" collapsed="false">
      <c r="F183" s="15"/>
      <c r="G183" s="15"/>
      <c r="H183" s="15"/>
      <c r="I183" s="15"/>
      <c r="K183" s="16"/>
    </row>
    <row r="184" customFormat="false" ht="15" hidden="false" customHeight="false" outlineLevel="0" collapsed="false">
      <c r="F184" s="15"/>
      <c r="G184" s="15"/>
      <c r="H184" s="15"/>
      <c r="I184" s="15"/>
      <c r="K184" s="16"/>
    </row>
    <row r="185" customFormat="false" ht="15" hidden="false" customHeight="false" outlineLevel="0" collapsed="false">
      <c r="F185" s="15"/>
      <c r="G185" s="15"/>
      <c r="H185" s="15"/>
      <c r="I185" s="15"/>
      <c r="K185" s="16"/>
    </row>
    <row r="186" customFormat="false" ht="15" hidden="false" customHeight="false" outlineLevel="0" collapsed="false">
      <c r="F186" s="15"/>
      <c r="G186" s="15"/>
      <c r="H186" s="15"/>
      <c r="I186" s="15"/>
      <c r="K186" s="16"/>
    </row>
    <row r="187" customFormat="false" ht="15" hidden="false" customHeight="false" outlineLevel="0" collapsed="false">
      <c r="F187" s="15"/>
      <c r="G187" s="15"/>
      <c r="H187" s="15"/>
      <c r="I187" s="15"/>
      <c r="K187" s="16"/>
    </row>
    <row r="188" customFormat="false" ht="15" hidden="false" customHeight="false" outlineLevel="0" collapsed="false">
      <c r="F188" s="15"/>
      <c r="G188" s="15"/>
      <c r="H188" s="15"/>
      <c r="I188" s="15"/>
      <c r="K188" s="16"/>
    </row>
    <row r="189" customFormat="false" ht="15" hidden="false" customHeight="false" outlineLevel="0" collapsed="false">
      <c r="F189" s="15"/>
      <c r="G189" s="15"/>
      <c r="H189" s="15"/>
      <c r="I189" s="15"/>
      <c r="K189" s="16"/>
    </row>
    <row r="190" customFormat="false" ht="15" hidden="false" customHeight="false" outlineLevel="0" collapsed="false">
      <c r="F190" s="15"/>
      <c r="G190" s="15"/>
      <c r="H190" s="15"/>
      <c r="I190" s="15"/>
      <c r="K190" s="16"/>
    </row>
    <row r="191" customFormat="false" ht="15" hidden="false" customHeight="false" outlineLevel="0" collapsed="false">
      <c r="F191" s="15"/>
      <c r="G191" s="15"/>
      <c r="H191" s="15"/>
      <c r="I191" s="15"/>
      <c r="K191" s="16"/>
    </row>
    <row r="192" customFormat="false" ht="15" hidden="false" customHeight="false" outlineLevel="0" collapsed="false">
      <c r="F192" s="15"/>
      <c r="G192" s="15"/>
      <c r="H192" s="15"/>
      <c r="I192" s="15"/>
      <c r="K192" s="16"/>
    </row>
    <row r="193" customFormat="false" ht="15" hidden="false" customHeight="false" outlineLevel="0" collapsed="false">
      <c r="F193" s="15"/>
      <c r="G193" s="15"/>
      <c r="H193" s="15"/>
      <c r="I193" s="15"/>
      <c r="K193" s="16"/>
    </row>
    <row r="194" customFormat="false" ht="15" hidden="false" customHeight="false" outlineLevel="0" collapsed="false">
      <c r="F194" s="15"/>
      <c r="G194" s="15"/>
      <c r="H194" s="15"/>
      <c r="I194" s="15"/>
      <c r="K194" s="16"/>
    </row>
    <row r="195" customFormat="false" ht="15" hidden="false" customHeight="false" outlineLevel="0" collapsed="false">
      <c r="F195" s="15"/>
      <c r="G195" s="15"/>
      <c r="H195" s="15"/>
      <c r="I195" s="15"/>
      <c r="K195" s="16"/>
    </row>
    <row r="196" customFormat="false" ht="15" hidden="false" customHeight="false" outlineLevel="0" collapsed="false">
      <c r="F196" s="15"/>
      <c r="G196" s="15"/>
      <c r="H196" s="15"/>
      <c r="I196" s="15"/>
      <c r="K196" s="16"/>
    </row>
    <row r="197" customFormat="false" ht="15" hidden="false" customHeight="false" outlineLevel="0" collapsed="false">
      <c r="F197" s="15"/>
      <c r="G197" s="15"/>
      <c r="H197" s="15"/>
      <c r="I197" s="15"/>
      <c r="K197" s="16"/>
    </row>
    <row r="198" customFormat="false" ht="15" hidden="false" customHeight="false" outlineLevel="0" collapsed="false">
      <c r="F198" s="15"/>
      <c r="G198" s="15"/>
      <c r="H198" s="15"/>
      <c r="I198" s="15"/>
      <c r="K198" s="16"/>
    </row>
    <row r="199" customFormat="false" ht="15" hidden="false" customHeight="false" outlineLevel="0" collapsed="false">
      <c r="F199" s="15"/>
      <c r="G199" s="15"/>
      <c r="H199" s="15"/>
      <c r="I199" s="15"/>
      <c r="K199" s="16"/>
    </row>
    <row r="200" customFormat="false" ht="15" hidden="false" customHeight="false" outlineLevel="0" collapsed="false">
      <c r="F200" s="15"/>
      <c r="G200" s="15"/>
      <c r="H200" s="15"/>
      <c r="I200" s="15"/>
      <c r="K200" s="16"/>
    </row>
    <row r="201" customFormat="false" ht="15" hidden="false" customHeight="false" outlineLevel="0" collapsed="false">
      <c r="F201" s="15"/>
      <c r="G201" s="15"/>
      <c r="H201" s="15"/>
      <c r="I201" s="15"/>
      <c r="K201" s="16"/>
    </row>
    <row r="202" customFormat="false" ht="15" hidden="false" customHeight="false" outlineLevel="0" collapsed="false">
      <c r="F202" s="15"/>
      <c r="G202" s="15"/>
      <c r="H202" s="15"/>
      <c r="I202" s="15"/>
      <c r="K202" s="16"/>
    </row>
    <row r="203" customFormat="false" ht="15" hidden="false" customHeight="false" outlineLevel="0" collapsed="false">
      <c r="F203" s="15"/>
      <c r="G203" s="15"/>
      <c r="H203" s="15"/>
      <c r="I203" s="15"/>
      <c r="K203" s="16"/>
    </row>
    <row r="204" customFormat="false" ht="15" hidden="false" customHeight="false" outlineLevel="0" collapsed="false">
      <c r="F204" s="15"/>
      <c r="G204" s="15"/>
      <c r="H204" s="15"/>
      <c r="I204" s="15"/>
      <c r="K204" s="16"/>
    </row>
    <row r="205" customFormat="false" ht="15" hidden="false" customHeight="false" outlineLevel="0" collapsed="false">
      <c r="F205" s="15"/>
      <c r="G205" s="15"/>
      <c r="H205" s="15"/>
      <c r="I205" s="15"/>
      <c r="K205" s="16"/>
    </row>
    <row r="206" customFormat="false" ht="15" hidden="false" customHeight="false" outlineLevel="0" collapsed="false">
      <c r="F206" s="15"/>
      <c r="G206" s="15"/>
      <c r="H206" s="15"/>
      <c r="I206" s="15"/>
      <c r="K206" s="16"/>
    </row>
    <row r="207" customFormat="false" ht="15" hidden="false" customHeight="false" outlineLevel="0" collapsed="false">
      <c r="F207" s="15"/>
      <c r="G207" s="15"/>
      <c r="H207" s="15"/>
      <c r="I207" s="15"/>
      <c r="K207" s="16"/>
    </row>
    <row r="208" customFormat="false" ht="15" hidden="false" customHeight="false" outlineLevel="0" collapsed="false">
      <c r="F208" s="15"/>
      <c r="G208" s="15"/>
      <c r="H208" s="15"/>
      <c r="I208" s="15"/>
      <c r="K208" s="16"/>
    </row>
    <row r="209" customFormat="false" ht="15" hidden="false" customHeight="false" outlineLevel="0" collapsed="false">
      <c r="F209" s="15"/>
      <c r="G209" s="15"/>
      <c r="H209" s="15"/>
      <c r="I209" s="15"/>
      <c r="K209" s="16"/>
    </row>
    <row r="210" customFormat="false" ht="15" hidden="false" customHeight="false" outlineLevel="0" collapsed="false">
      <c r="F210" s="15"/>
      <c r="G210" s="15"/>
      <c r="H210" s="15"/>
      <c r="I210" s="15"/>
      <c r="K210" s="16"/>
    </row>
    <row r="211" customFormat="false" ht="15" hidden="false" customHeight="false" outlineLevel="0" collapsed="false">
      <c r="F211" s="15"/>
      <c r="G211" s="15"/>
      <c r="H211" s="15"/>
      <c r="I211" s="15"/>
      <c r="K211" s="16"/>
    </row>
    <row r="212" customFormat="false" ht="15" hidden="false" customHeight="false" outlineLevel="0" collapsed="false">
      <c r="F212" s="15"/>
      <c r="G212" s="15"/>
      <c r="H212" s="15"/>
      <c r="I212" s="15"/>
      <c r="K212" s="16"/>
    </row>
    <row r="213" customFormat="false" ht="15" hidden="false" customHeight="false" outlineLevel="0" collapsed="false">
      <c r="F213" s="15"/>
      <c r="G213" s="15"/>
      <c r="H213" s="15"/>
      <c r="I213" s="15"/>
      <c r="K213" s="16"/>
    </row>
    <row r="214" customFormat="false" ht="15" hidden="false" customHeight="false" outlineLevel="0" collapsed="false">
      <c r="F214" s="15"/>
      <c r="G214" s="15"/>
      <c r="H214" s="15"/>
      <c r="I214" s="15"/>
      <c r="K214" s="16"/>
    </row>
    <row r="215" customFormat="false" ht="15" hidden="false" customHeight="false" outlineLevel="0" collapsed="false">
      <c r="F215" s="15"/>
      <c r="G215" s="15"/>
      <c r="H215" s="15"/>
      <c r="I215" s="15"/>
      <c r="K215" s="16"/>
    </row>
    <row r="216" customFormat="false" ht="15" hidden="false" customHeight="false" outlineLevel="0" collapsed="false">
      <c r="F216" s="15"/>
      <c r="G216" s="15"/>
      <c r="H216" s="15"/>
      <c r="I216" s="15"/>
      <c r="K216" s="16"/>
    </row>
    <row r="217" customFormat="false" ht="15" hidden="false" customHeight="false" outlineLevel="0" collapsed="false">
      <c r="F217" s="15"/>
      <c r="G217" s="15"/>
      <c r="H217" s="15"/>
      <c r="I217" s="15"/>
      <c r="K217" s="16"/>
    </row>
    <row r="218" customFormat="false" ht="15" hidden="false" customHeight="false" outlineLevel="0" collapsed="false">
      <c r="F218" s="15"/>
      <c r="G218" s="15"/>
      <c r="H218" s="15"/>
      <c r="I218" s="15"/>
      <c r="K218" s="16"/>
    </row>
    <row r="219" customFormat="false" ht="15" hidden="false" customHeight="false" outlineLevel="0" collapsed="false">
      <c r="F219" s="15"/>
      <c r="G219" s="15"/>
      <c r="H219" s="15"/>
      <c r="I219" s="15"/>
      <c r="K219" s="16"/>
    </row>
    <row r="220" customFormat="false" ht="15" hidden="false" customHeight="false" outlineLevel="0" collapsed="false">
      <c r="F220" s="15"/>
      <c r="G220" s="15"/>
      <c r="H220" s="15"/>
      <c r="I220" s="15"/>
      <c r="K220" s="16"/>
    </row>
    <row r="221" customFormat="false" ht="15" hidden="false" customHeight="false" outlineLevel="0" collapsed="false">
      <c r="F221" s="15"/>
      <c r="G221" s="15"/>
      <c r="H221" s="15"/>
      <c r="I221" s="15"/>
      <c r="K221" s="16"/>
    </row>
    <row r="222" customFormat="false" ht="15" hidden="false" customHeight="false" outlineLevel="0" collapsed="false">
      <c r="F222" s="15"/>
      <c r="G222" s="15"/>
      <c r="H222" s="15"/>
      <c r="I222" s="15"/>
      <c r="K222" s="16"/>
    </row>
    <row r="223" customFormat="false" ht="15" hidden="false" customHeight="false" outlineLevel="0" collapsed="false">
      <c r="F223" s="15"/>
      <c r="G223" s="15"/>
      <c r="H223" s="15"/>
      <c r="I223" s="15"/>
      <c r="K223" s="16"/>
    </row>
    <row r="224" customFormat="false" ht="15" hidden="false" customHeight="false" outlineLevel="0" collapsed="false">
      <c r="F224" s="15"/>
      <c r="G224" s="15"/>
      <c r="H224" s="15"/>
      <c r="I224" s="15"/>
      <c r="K224" s="16"/>
    </row>
    <row r="225" customFormat="false" ht="15" hidden="false" customHeight="false" outlineLevel="0" collapsed="false">
      <c r="F225" s="15"/>
      <c r="G225" s="15"/>
      <c r="H225" s="15"/>
      <c r="I225" s="15"/>
      <c r="K225" s="16"/>
    </row>
    <row r="226" customFormat="false" ht="15" hidden="false" customHeight="false" outlineLevel="0" collapsed="false">
      <c r="F226" s="15"/>
      <c r="G226" s="15"/>
      <c r="H226" s="15"/>
      <c r="I226" s="15"/>
      <c r="K226" s="16"/>
    </row>
    <row r="227" customFormat="false" ht="15" hidden="false" customHeight="false" outlineLevel="0" collapsed="false">
      <c r="F227" s="15"/>
      <c r="G227" s="15"/>
      <c r="H227" s="15"/>
      <c r="I227" s="15"/>
      <c r="K227" s="16"/>
    </row>
    <row r="228" customFormat="false" ht="15" hidden="false" customHeight="false" outlineLevel="0" collapsed="false">
      <c r="F228" s="15"/>
      <c r="G228" s="15"/>
      <c r="H228" s="15"/>
      <c r="I228" s="15"/>
      <c r="K228" s="16"/>
    </row>
    <row r="229" customFormat="false" ht="15" hidden="false" customHeight="false" outlineLevel="0" collapsed="false">
      <c r="F229" s="15"/>
      <c r="G229" s="15"/>
      <c r="H229" s="15"/>
      <c r="I229" s="15"/>
      <c r="K229" s="16"/>
    </row>
    <row r="230" customFormat="false" ht="15" hidden="false" customHeight="false" outlineLevel="0" collapsed="false">
      <c r="F230" s="15"/>
      <c r="G230" s="15"/>
      <c r="H230" s="15"/>
      <c r="I230" s="15"/>
      <c r="K230" s="16"/>
    </row>
    <row r="231" customFormat="false" ht="15" hidden="false" customHeight="false" outlineLevel="0" collapsed="false">
      <c r="F231" s="15"/>
      <c r="G231" s="15"/>
      <c r="H231" s="15"/>
      <c r="I231" s="15"/>
      <c r="K231" s="16"/>
    </row>
    <row r="232" customFormat="false" ht="15" hidden="false" customHeight="false" outlineLevel="0" collapsed="false">
      <c r="F232" s="15"/>
      <c r="G232" s="15"/>
      <c r="H232" s="15"/>
      <c r="I232" s="15"/>
      <c r="K232" s="16"/>
    </row>
    <row r="233" customFormat="false" ht="15" hidden="false" customHeight="false" outlineLevel="0" collapsed="false">
      <c r="F233" s="15"/>
      <c r="G233" s="15"/>
      <c r="H233" s="15"/>
      <c r="I233" s="15"/>
      <c r="K233" s="16"/>
    </row>
    <row r="234" customFormat="false" ht="15" hidden="false" customHeight="false" outlineLevel="0" collapsed="false">
      <c r="F234" s="15"/>
      <c r="G234" s="15"/>
      <c r="H234" s="15"/>
      <c r="I234" s="15"/>
      <c r="K234" s="16"/>
    </row>
    <row r="235" customFormat="false" ht="15" hidden="false" customHeight="false" outlineLevel="0" collapsed="false">
      <c r="F235" s="15"/>
      <c r="G235" s="15"/>
      <c r="H235" s="15"/>
      <c r="I235" s="15"/>
      <c r="K235" s="16"/>
    </row>
    <row r="236" customFormat="false" ht="15" hidden="false" customHeight="false" outlineLevel="0" collapsed="false">
      <c r="F236" s="15"/>
      <c r="G236" s="15"/>
      <c r="H236" s="15"/>
      <c r="I236" s="15"/>
      <c r="K236" s="16"/>
    </row>
    <row r="237" customFormat="false" ht="15" hidden="false" customHeight="false" outlineLevel="0" collapsed="false">
      <c r="F237" s="15"/>
      <c r="G237" s="15"/>
      <c r="H237" s="15"/>
      <c r="I237" s="15"/>
      <c r="K237" s="16"/>
    </row>
    <row r="238" customFormat="false" ht="15" hidden="false" customHeight="false" outlineLevel="0" collapsed="false">
      <c r="F238" s="15"/>
      <c r="G238" s="15"/>
      <c r="H238" s="15"/>
      <c r="I238" s="15"/>
      <c r="K238" s="16"/>
    </row>
    <row r="239" customFormat="false" ht="15" hidden="false" customHeight="false" outlineLevel="0" collapsed="false">
      <c r="F239" s="15"/>
      <c r="G239" s="15"/>
      <c r="H239" s="15"/>
      <c r="I239" s="15"/>
      <c r="K239" s="16"/>
    </row>
    <row r="240" customFormat="false" ht="15" hidden="false" customHeight="false" outlineLevel="0" collapsed="false">
      <c r="F240" s="15"/>
      <c r="G240" s="15"/>
      <c r="H240" s="15"/>
      <c r="I240" s="15"/>
      <c r="K240" s="16"/>
    </row>
    <row r="241" customFormat="false" ht="15" hidden="false" customHeight="false" outlineLevel="0" collapsed="false">
      <c r="F241" s="15"/>
      <c r="G241" s="15"/>
      <c r="H241" s="15"/>
      <c r="I241" s="15"/>
      <c r="K241" s="16"/>
    </row>
    <row r="242" customFormat="false" ht="15" hidden="false" customHeight="false" outlineLevel="0" collapsed="false">
      <c r="F242" s="15"/>
      <c r="G242" s="15"/>
      <c r="H242" s="15"/>
      <c r="I242" s="15"/>
      <c r="K242" s="16"/>
    </row>
    <row r="243" customFormat="false" ht="15" hidden="false" customHeight="false" outlineLevel="0" collapsed="false">
      <c r="F243" s="15"/>
      <c r="G243" s="15"/>
      <c r="H243" s="15"/>
      <c r="I243" s="15"/>
      <c r="K243" s="16"/>
    </row>
    <row r="244" customFormat="false" ht="15" hidden="false" customHeight="false" outlineLevel="0" collapsed="false">
      <c r="F244" s="15"/>
      <c r="G244" s="15"/>
      <c r="H244" s="15"/>
      <c r="I244" s="15"/>
      <c r="K244" s="16"/>
    </row>
    <row r="245" customFormat="false" ht="15" hidden="false" customHeight="false" outlineLevel="0" collapsed="false">
      <c r="F245" s="15"/>
      <c r="G245" s="15"/>
      <c r="H245" s="15"/>
      <c r="I245" s="15"/>
      <c r="K245" s="16"/>
    </row>
    <row r="246" customFormat="false" ht="15" hidden="false" customHeight="false" outlineLevel="0" collapsed="false">
      <c r="F246" s="15"/>
      <c r="G246" s="15"/>
      <c r="H246" s="15"/>
      <c r="I246" s="15"/>
      <c r="K246" s="16"/>
    </row>
    <row r="247" customFormat="false" ht="15" hidden="false" customHeight="false" outlineLevel="0" collapsed="false">
      <c r="F247" s="15"/>
      <c r="G247" s="15"/>
      <c r="H247" s="15"/>
      <c r="I247" s="15"/>
      <c r="K247" s="16"/>
    </row>
    <row r="248" customFormat="false" ht="15" hidden="false" customHeight="false" outlineLevel="0" collapsed="false">
      <c r="F248" s="15"/>
      <c r="G248" s="15"/>
      <c r="H248" s="15"/>
      <c r="I248" s="15"/>
      <c r="K248" s="16"/>
    </row>
    <row r="249" customFormat="false" ht="15" hidden="false" customHeight="false" outlineLevel="0" collapsed="false">
      <c r="F249" s="15"/>
      <c r="G249" s="15"/>
      <c r="H249" s="15"/>
      <c r="I249" s="15"/>
      <c r="K249" s="16"/>
    </row>
    <row r="250" customFormat="false" ht="15" hidden="false" customHeight="false" outlineLevel="0" collapsed="false">
      <c r="F250" s="15"/>
      <c r="G250" s="15"/>
      <c r="H250" s="15"/>
      <c r="I250" s="15"/>
      <c r="K250" s="16"/>
    </row>
    <row r="251" customFormat="false" ht="15" hidden="false" customHeight="false" outlineLevel="0" collapsed="false">
      <c r="F251" s="15"/>
      <c r="G251" s="15"/>
      <c r="H251" s="15"/>
      <c r="I251" s="15"/>
      <c r="K251" s="16"/>
    </row>
    <row r="252" customFormat="false" ht="15" hidden="false" customHeight="false" outlineLevel="0" collapsed="false">
      <c r="F252" s="15"/>
      <c r="G252" s="15"/>
      <c r="H252" s="15"/>
      <c r="I252" s="15"/>
      <c r="K252" s="16"/>
    </row>
    <row r="253" customFormat="false" ht="15" hidden="false" customHeight="false" outlineLevel="0" collapsed="false">
      <c r="F253" s="15"/>
      <c r="G253" s="15"/>
      <c r="H253" s="15"/>
      <c r="I253" s="15"/>
      <c r="K253" s="16"/>
    </row>
    <row r="254" customFormat="false" ht="15" hidden="false" customHeight="false" outlineLevel="0" collapsed="false">
      <c r="F254" s="15"/>
      <c r="G254" s="15"/>
      <c r="H254" s="15"/>
      <c r="I254" s="15"/>
      <c r="K254" s="16"/>
    </row>
    <row r="255" customFormat="false" ht="15" hidden="false" customHeight="false" outlineLevel="0" collapsed="false">
      <c r="F255" s="15"/>
      <c r="G255" s="15"/>
      <c r="H255" s="15"/>
      <c r="I255" s="15"/>
      <c r="K255" s="16"/>
    </row>
    <row r="256" customFormat="false" ht="15" hidden="false" customHeight="false" outlineLevel="0" collapsed="false">
      <c r="F256" s="15"/>
      <c r="G256" s="15"/>
      <c r="H256" s="15"/>
      <c r="I256" s="15"/>
      <c r="K256" s="16"/>
    </row>
    <row r="257" customFormat="false" ht="15" hidden="false" customHeight="false" outlineLevel="0" collapsed="false">
      <c r="F257" s="15"/>
      <c r="G257" s="15"/>
      <c r="H257" s="15"/>
      <c r="I257" s="15"/>
      <c r="K257" s="16"/>
    </row>
    <row r="258" customFormat="false" ht="15" hidden="false" customHeight="false" outlineLevel="0" collapsed="false">
      <c r="F258" s="15"/>
      <c r="G258" s="15"/>
      <c r="H258" s="15"/>
      <c r="I258" s="15"/>
      <c r="K258" s="16"/>
    </row>
    <row r="259" customFormat="false" ht="15" hidden="false" customHeight="false" outlineLevel="0" collapsed="false">
      <c r="F259" s="15"/>
      <c r="G259" s="15"/>
      <c r="H259" s="15"/>
      <c r="I259" s="15"/>
      <c r="K259" s="16"/>
    </row>
    <row r="260" customFormat="false" ht="15" hidden="false" customHeight="false" outlineLevel="0" collapsed="false">
      <c r="F260" s="15"/>
      <c r="G260" s="15"/>
      <c r="H260" s="15"/>
      <c r="I260" s="15"/>
      <c r="K260" s="16"/>
    </row>
    <row r="261" customFormat="false" ht="15" hidden="false" customHeight="false" outlineLevel="0" collapsed="false">
      <c r="F261" s="15"/>
      <c r="G261" s="15"/>
      <c r="H261" s="15"/>
      <c r="I261" s="15"/>
      <c r="K261" s="16"/>
    </row>
    <row r="262" customFormat="false" ht="15" hidden="false" customHeight="false" outlineLevel="0" collapsed="false">
      <c r="F262" s="15"/>
      <c r="G262" s="15"/>
      <c r="H262" s="15"/>
      <c r="I262" s="15"/>
      <c r="K262" s="16"/>
    </row>
    <row r="263" customFormat="false" ht="15" hidden="false" customHeight="false" outlineLevel="0" collapsed="false">
      <c r="F263" s="15"/>
      <c r="G263" s="15"/>
      <c r="H263" s="15"/>
      <c r="I263" s="15"/>
      <c r="K263" s="16"/>
    </row>
    <row r="264" customFormat="false" ht="15" hidden="false" customHeight="false" outlineLevel="0" collapsed="false">
      <c r="F264" s="15"/>
      <c r="G264" s="15"/>
      <c r="H264" s="15"/>
      <c r="I264" s="15"/>
      <c r="K264" s="16"/>
    </row>
    <row r="265" customFormat="false" ht="15" hidden="false" customHeight="false" outlineLevel="0" collapsed="false">
      <c r="F265" s="15"/>
      <c r="G265" s="15"/>
      <c r="H265" s="15"/>
      <c r="I265" s="15"/>
      <c r="K265" s="16"/>
    </row>
    <row r="266" customFormat="false" ht="15" hidden="false" customHeight="false" outlineLevel="0" collapsed="false">
      <c r="F266" s="15"/>
      <c r="G266" s="15"/>
      <c r="H266" s="15"/>
      <c r="I266" s="15"/>
      <c r="K266" s="16"/>
    </row>
    <row r="267" customFormat="false" ht="15" hidden="false" customHeight="false" outlineLevel="0" collapsed="false">
      <c r="F267" s="15"/>
      <c r="G267" s="15"/>
      <c r="H267" s="15"/>
      <c r="I267" s="15"/>
      <c r="K267" s="16"/>
    </row>
    <row r="268" customFormat="false" ht="15" hidden="false" customHeight="false" outlineLevel="0" collapsed="false">
      <c r="F268" s="15"/>
      <c r="G268" s="15"/>
      <c r="H268" s="15"/>
      <c r="I268" s="15"/>
      <c r="K268" s="16"/>
    </row>
    <row r="269" customFormat="false" ht="15" hidden="false" customHeight="false" outlineLevel="0" collapsed="false">
      <c r="F269" s="15"/>
      <c r="G269" s="15"/>
      <c r="H269" s="15"/>
      <c r="I269" s="15"/>
      <c r="K269" s="16"/>
    </row>
    <row r="270" customFormat="false" ht="15" hidden="false" customHeight="false" outlineLevel="0" collapsed="false">
      <c r="F270" s="15"/>
      <c r="G270" s="15"/>
      <c r="H270" s="15"/>
      <c r="I270" s="15"/>
      <c r="K270" s="16"/>
    </row>
    <row r="271" customFormat="false" ht="15" hidden="false" customHeight="false" outlineLevel="0" collapsed="false">
      <c r="F271" s="15"/>
      <c r="G271" s="15"/>
      <c r="H271" s="15"/>
      <c r="I271" s="15"/>
      <c r="K271" s="16"/>
    </row>
    <row r="272" customFormat="false" ht="15" hidden="false" customHeight="false" outlineLevel="0" collapsed="false">
      <c r="F272" s="15"/>
      <c r="G272" s="15"/>
      <c r="H272" s="15"/>
      <c r="I272" s="15"/>
      <c r="K272" s="16"/>
    </row>
    <row r="273" customFormat="false" ht="15" hidden="false" customHeight="false" outlineLevel="0" collapsed="false">
      <c r="F273" s="15"/>
      <c r="G273" s="15"/>
      <c r="H273" s="15"/>
      <c r="I273" s="15"/>
      <c r="K273" s="16"/>
    </row>
    <row r="274" customFormat="false" ht="15" hidden="false" customHeight="false" outlineLevel="0" collapsed="false">
      <c r="F274" s="15"/>
      <c r="G274" s="15"/>
      <c r="H274" s="15"/>
      <c r="I274" s="15"/>
      <c r="K274" s="16"/>
    </row>
    <row r="275" customFormat="false" ht="15" hidden="false" customHeight="false" outlineLevel="0" collapsed="false">
      <c r="F275" s="15"/>
      <c r="G275" s="15"/>
      <c r="H275" s="15"/>
      <c r="I275" s="15"/>
      <c r="K275" s="16"/>
    </row>
    <row r="276" customFormat="false" ht="15" hidden="false" customHeight="false" outlineLevel="0" collapsed="false">
      <c r="F276" s="15"/>
      <c r="G276" s="15"/>
      <c r="H276" s="15"/>
      <c r="I276" s="15"/>
      <c r="K276" s="16"/>
    </row>
    <row r="277" customFormat="false" ht="15" hidden="false" customHeight="false" outlineLevel="0" collapsed="false">
      <c r="F277" s="15"/>
      <c r="G277" s="15"/>
      <c r="H277" s="15"/>
      <c r="I277" s="15"/>
      <c r="K277" s="16"/>
    </row>
    <row r="278" customFormat="false" ht="15" hidden="false" customHeight="false" outlineLevel="0" collapsed="false">
      <c r="F278" s="15"/>
      <c r="G278" s="15"/>
      <c r="H278" s="15"/>
      <c r="I278" s="15"/>
      <c r="K278" s="16"/>
    </row>
    <row r="279" customFormat="false" ht="15" hidden="false" customHeight="false" outlineLevel="0" collapsed="false">
      <c r="F279" s="15"/>
      <c r="G279" s="15"/>
      <c r="H279" s="15"/>
      <c r="I279" s="15"/>
      <c r="K279" s="16"/>
    </row>
    <row r="280" customFormat="false" ht="15" hidden="false" customHeight="false" outlineLevel="0" collapsed="false">
      <c r="F280" s="15"/>
      <c r="G280" s="15"/>
      <c r="H280" s="15"/>
      <c r="I280" s="15"/>
      <c r="K280" s="16"/>
    </row>
    <row r="281" customFormat="false" ht="15" hidden="false" customHeight="false" outlineLevel="0" collapsed="false">
      <c r="F281" s="15"/>
      <c r="G281" s="15"/>
      <c r="H281" s="15"/>
      <c r="I281" s="15"/>
      <c r="K281" s="16"/>
    </row>
    <row r="282" customFormat="false" ht="15" hidden="false" customHeight="false" outlineLevel="0" collapsed="false">
      <c r="F282" s="15"/>
      <c r="G282" s="15"/>
      <c r="H282" s="15"/>
      <c r="I282" s="15"/>
      <c r="K282" s="16"/>
    </row>
    <row r="283" customFormat="false" ht="15" hidden="false" customHeight="false" outlineLevel="0" collapsed="false">
      <c r="F283" s="15"/>
      <c r="G283" s="15"/>
      <c r="H283" s="15"/>
      <c r="I283" s="15"/>
      <c r="K283" s="16"/>
    </row>
    <row r="284" customFormat="false" ht="15" hidden="false" customHeight="false" outlineLevel="0" collapsed="false">
      <c r="F284" s="15"/>
      <c r="G284" s="15"/>
      <c r="H284" s="15"/>
      <c r="I284" s="15"/>
      <c r="K284" s="16"/>
    </row>
    <row r="285" customFormat="false" ht="15" hidden="false" customHeight="false" outlineLevel="0" collapsed="false">
      <c r="F285" s="15"/>
      <c r="G285" s="15"/>
      <c r="H285" s="15"/>
      <c r="I285" s="15"/>
      <c r="K285" s="16"/>
    </row>
    <row r="286" customFormat="false" ht="15" hidden="false" customHeight="false" outlineLevel="0" collapsed="false">
      <c r="F286" s="15"/>
      <c r="G286" s="15"/>
      <c r="H286" s="15"/>
      <c r="I286" s="15"/>
      <c r="K286" s="16"/>
    </row>
    <row r="287" customFormat="false" ht="15" hidden="false" customHeight="false" outlineLevel="0" collapsed="false">
      <c r="F287" s="15"/>
      <c r="G287" s="15"/>
      <c r="H287" s="15"/>
      <c r="I287" s="15"/>
      <c r="K287" s="16"/>
    </row>
    <row r="288" customFormat="false" ht="15" hidden="false" customHeight="false" outlineLevel="0" collapsed="false">
      <c r="F288" s="15"/>
      <c r="G288" s="15"/>
      <c r="H288" s="15"/>
      <c r="I288" s="15"/>
      <c r="K288" s="16"/>
    </row>
    <row r="289" customFormat="false" ht="15" hidden="false" customHeight="false" outlineLevel="0" collapsed="false">
      <c r="F289" s="15"/>
      <c r="G289" s="15"/>
      <c r="H289" s="15"/>
      <c r="I289" s="15"/>
      <c r="K289" s="16"/>
    </row>
    <row r="290" customFormat="false" ht="15" hidden="false" customHeight="false" outlineLevel="0" collapsed="false">
      <c r="F290" s="15"/>
      <c r="G290" s="15"/>
      <c r="H290" s="15"/>
      <c r="I290" s="15"/>
      <c r="K290" s="16"/>
    </row>
    <row r="291" customFormat="false" ht="15" hidden="false" customHeight="false" outlineLevel="0" collapsed="false">
      <c r="F291" s="15"/>
      <c r="G291" s="15"/>
      <c r="H291" s="15"/>
      <c r="I291" s="15"/>
      <c r="K291" s="16"/>
    </row>
    <row r="292" customFormat="false" ht="15" hidden="false" customHeight="false" outlineLevel="0" collapsed="false">
      <c r="F292" s="15"/>
      <c r="G292" s="15"/>
      <c r="H292" s="15"/>
      <c r="I292" s="15"/>
      <c r="K292" s="16"/>
    </row>
    <row r="293" customFormat="false" ht="15" hidden="false" customHeight="false" outlineLevel="0" collapsed="false">
      <c r="F293" s="15"/>
      <c r="G293" s="15"/>
      <c r="H293" s="15"/>
      <c r="I293" s="15"/>
      <c r="K293" s="16"/>
    </row>
    <row r="294" customFormat="false" ht="15" hidden="false" customHeight="false" outlineLevel="0" collapsed="false">
      <c r="F294" s="15"/>
      <c r="G294" s="15"/>
      <c r="H294" s="15"/>
      <c r="I294" s="15"/>
      <c r="K294" s="16"/>
    </row>
    <row r="295" customFormat="false" ht="15" hidden="false" customHeight="false" outlineLevel="0" collapsed="false">
      <c r="F295" s="15"/>
      <c r="G295" s="15"/>
      <c r="H295" s="15"/>
      <c r="I295" s="15"/>
      <c r="K295" s="16"/>
    </row>
    <row r="296" customFormat="false" ht="15" hidden="false" customHeight="false" outlineLevel="0" collapsed="false">
      <c r="F296" s="15"/>
      <c r="G296" s="15"/>
      <c r="H296" s="15"/>
      <c r="I296" s="15"/>
      <c r="K296" s="16"/>
    </row>
    <row r="297" customFormat="false" ht="15" hidden="false" customHeight="false" outlineLevel="0" collapsed="false">
      <c r="F297" s="15"/>
      <c r="G297" s="15"/>
      <c r="H297" s="15"/>
      <c r="I297" s="15"/>
      <c r="K297" s="16"/>
    </row>
    <row r="298" customFormat="false" ht="15" hidden="false" customHeight="false" outlineLevel="0" collapsed="false">
      <c r="F298" s="15"/>
      <c r="G298" s="15"/>
      <c r="H298" s="15"/>
      <c r="I298" s="15"/>
      <c r="K298" s="16"/>
    </row>
    <row r="299" customFormat="false" ht="15" hidden="false" customHeight="false" outlineLevel="0" collapsed="false">
      <c r="F299" s="15"/>
      <c r="G299" s="15"/>
      <c r="H299" s="15"/>
      <c r="I299" s="15"/>
      <c r="K299" s="16"/>
    </row>
    <row r="300" customFormat="false" ht="15" hidden="false" customHeight="false" outlineLevel="0" collapsed="false">
      <c r="F300" s="15"/>
      <c r="G300" s="15"/>
      <c r="H300" s="15"/>
      <c r="I300" s="15"/>
      <c r="K300" s="16"/>
    </row>
    <row r="301" customFormat="false" ht="15" hidden="false" customHeight="false" outlineLevel="0" collapsed="false">
      <c r="F301" s="15"/>
      <c r="G301" s="15"/>
      <c r="H301" s="15"/>
      <c r="I301" s="15"/>
      <c r="K301" s="16"/>
    </row>
    <row r="302" customFormat="false" ht="15" hidden="false" customHeight="false" outlineLevel="0" collapsed="false">
      <c r="F302" s="15"/>
      <c r="G302" s="15"/>
      <c r="H302" s="15"/>
      <c r="I302" s="15"/>
      <c r="K302" s="16"/>
    </row>
    <row r="303" customFormat="false" ht="15" hidden="false" customHeight="false" outlineLevel="0" collapsed="false">
      <c r="F303" s="15"/>
      <c r="G303" s="15"/>
      <c r="H303" s="15"/>
      <c r="I303" s="15"/>
      <c r="K303" s="16"/>
    </row>
    <row r="304" customFormat="false" ht="15" hidden="false" customHeight="false" outlineLevel="0" collapsed="false">
      <c r="F304" s="15"/>
      <c r="G304" s="15"/>
      <c r="H304" s="15"/>
      <c r="I304" s="15"/>
      <c r="K304" s="16"/>
    </row>
    <row r="305" customFormat="false" ht="15" hidden="false" customHeight="false" outlineLevel="0" collapsed="false">
      <c r="F305" s="15"/>
      <c r="G305" s="15"/>
      <c r="H305" s="15"/>
      <c r="I305" s="15"/>
      <c r="K305" s="16"/>
    </row>
    <row r="306" customFormat="false" ht="15" hidden="false" customHeight="false" outlineLevel="0" collapsed="false">
      <c r="F306" s="15"/>
      <c r="G306" s="15"/>
      <c r="H306" s="15"/>
      <c r="I306" s="15"/>
      <c r="K306" s="16"/>
    </row>
    <row r="307" customFormat="false" ht="15" hidden="false" customHeight="false" outlineLevel="0" collapsed="false">
      <c r="F307" s="15"/>
      <c r="G307" s="15"/>
      <c r="H307" s="15"/>
      <c r="I307" s="15"/>
      <c r="K307" s="16"/>
    </row>
    <row r="308" customFormat="false" ht="15" hidden="false" customHeight="false" outlineLevel="0" collapsed="false">
      <c r="F308" s="15"/>
      <c r="G308" s="15"/>
      <c r="H308" s="15"/>
      <c r="I308" s="15"/>
      <c r="K308" s="16"/>
    </row>
    <row r="309" customFormat="false" ht="15" hidden="false" customHeight="false" outlineLevel="0" collapsed="false">
      <c r="F309" s="15"/>
      <c r="G309" s="15"/>
      <c r="H309" s="15"/>
      <c r="I309" s="15"/>
      <c r="K309" s="16"/>
    </row>
    <row r="310" customFormat="false" ht="15" hidden="false" customHeight="false" outlineLevel="0" collapsed="false">
      <c r="F310" s="15"/>
      <c r="G310" s="15"/>
      <c r="H310" s="15"/>
      <c r="I310" s="15"/>
      <c r="K310" s="16"/>
    </row>
    <row r="311" customFormat="false" ht="15" hidden="false" customHeight="false" outlineLevel="0" collapsed="false">
      <c r="F311" s="15"/>
      <c r="G311" s="15"/>
      <c r="H311" s="15"/>
      <c r="I311" s="15"/>
      <c r="K311" s="16"/>
    </row>
    <row r="312" customFormat="false" ht="15" hidden="false" customHeight="false" outlineLevel="0" collapsed="false">
      <c r="F312" s="15"/>
      <c r="G312" s="15"/>
      <c r="H312" s="15"/>
      <c r="I312" s="15"/>
      <c r="K312" s="16"/>
    </row>
    <row r="313" customFormat="false" ht="15" hidden="false" customHeight="false" outlineLevel="0" collapsed="false">
      <c r="F313" s="15"/>
      <c r="G313" s="15"/>
      <c r="H313" s="15"/>
      <c r="I313" s="15"/>
      <c r="K313" s="16"/>
    </row>
    <row r="314" customFormat="false" ht="15" hidden="false" customHeight="false" outlineLevel="0" collapsed="false">
      <c r="F314" s="15"/>
      <c r="G314" s="15"/>
      <c r="H314" s="15"/>
      <c r="I314" s="15"/>
      <c r="K314" s="16"/>
    </row>
    <row r="315" customFormat="false" ht="15" hidden="false" customHeight="false" outlineLevel="0" collapsed="false">
      <c r="F315" s="15"/>
      <c r="G315" s="15"/>
      <c r="H315" s="15"/>
      <c r="I315" s="15"/>
      <c r="K315" s="16"/>
    </row>
    <row r="316" customFormat="false" ht="15" hidden="false" customHeight="false" outlineLevel="0" collapsed="false">
      <c r="F316" s="15"/>
      <c r="G316" s="15"/>
      <c r="H316" s="15"/>
      <c r="I316" s="15"/>
      <c r="K316" s="16"/>
    </row>
    <row r="317" customFormat="false" ht="15" hidden="false" customHeight="false" outlineLevel="0" collapsed="false">
      <c r="F317" s="15"/>
      <c r="G317" s="15"/>
      <c r="H317" s="15"/>
      <c r="I317" s="15"/>
      <c r="K317" s="16"/>
    </row>
    <row r="318" customFormat="false" ht="15" hidden="false" customHeight="false" outlineLevel="0" collapsed="false">
      <c r="F318" s="15"/>
      <c r="G318" s="15"/>
      <c r="H318" s="15"/>
      <c r="I318" s="15"/>
      <c r="K318" s="16"/>
    </row>
    <row r="319" customFormat="false" ht="15" hidden="false" customHeight="false" outlineLevel="0" collapsed="false">
      <c r="F319" s="15"/>
      <c r="G319" s="15"/>
      <c r="H319" s="15"/>
      <c r="I319" s="15"/>
      <c r="K319" s="16"/>
    </row>
    <row r="320" customFormat="false" ht="15" hidden="false" customHeight="false" outlineLevel="0" collapsed="false">
      <c r="F320" s="15"/>
      <c r="G320" s="15"/>
      <c r="H320" s="15"/>
      <c r="I320" s="15"/>
      <c r="K320" s="16"/>
    </row>
    <row r="321" customFormat="false" ht="15" hidden="false" customHeight="false" outlineLevel="0" collapsed="false">
      <c r="F321" s="15"/>
      <c r="G321" s="15"/>
      <c r="H321" s="15"/>
      <c r="I321" s="15"/>
      <c r="K321" s="16"/>
    </row>
    <row r="322" customFormat="false" ht="15" hidden="false" customHeight="false" outlineLevel="0" collapsed="false">
      <c r="F322" s="15"/>
      <c r="G322" s="15"/>
      <c r="H322" s="15"/>
      <c r="I322" s="15"/>
      <c r="K322" s="16"/>
    </row>
    <row r="323" customFormat="false" ht="15" hidden="false" customHeight="false" outlineLevel="0" collapsed="false">
      <c r="F323" s="15"/>
      <c r="G323" s="15"/>
      <c r="H323" s="15"/>
      <c r="I323" s="15"/>
      <c r="K323" s="16"/>
    </row>
    <row r="324" customFormat="false" ht="15" hidden="false" customHeight="false" outlineLevel="0" collapsed="false">
      <c r="F324" s="15"/>
      <c r="G324" s="15"/>
      <c r="H324" s="15"/>
      <c r="I324" s="15"/>
      <c r="K324" s="16"/>
    </row>
    <row r="325" customFormat="false" ht="15" hidden="false" customHeight="false" outlineLevel="0" collapsed="false">
      <c r="F325" s="15"/>
      <c r="G325" s="15"/>
      <c r="H325" s="15"/>
      <c r="I325" s="15"/>
      <c r="K325" s="16"/>
    </row>
    <row r="326" customFormat="false" ht="15" hidden="false" customHeight="false" outlineLevel="0" collapsed="false">
      <c r="F326" s="15"/>
      <c r="G326" s="15"/>
      <c r="H326" s="15"/>
      <c r="I326" s="15"/>
      <c r="K326" s="16"/>
    </row>
    <row r="327" customFormat="false" ht="15" hidden="false" customHeight="false" outlineLevel="0" collapsed="false">
      <c r="F327" s="15"/>
      <c r="G327" s="15"/>
      <c r="H327" s="15"/>
      <c r="I327" s="15"/>
      <c r="K327" s="16"/>
    </row>
    <row r="328" customFormat="false" ht="15" hidden="false" customHeight="false" outlineLevel="0" collapsed="false">
      <c r="F328" s="15"/>
      <c r="G328" s="15"/>
      <c r="H328" s="15"/>
      <c r="I328" s="15"/>
      <c r="K328" s="16"/>
    </row>
    <row r="329" customFormat="false" ht="15" hidden="false" customHeight="false" outlineLevel="0" collapsed="false">
      <c r="F329" s="15"/>
      <c r="G329" s="15"/>
      <c r="H329" s="15"/>
      <c r="I329" s="15"/>
      <c r="K329" s="16"/>
    </row>
    <row r="330" customFormat="false" ht="15" hidden="false" customHeight="false" outlineLevel="0" collapsed="false">
      <c r="F330" s="15"/>
      <c r="G330" s="15"/>
      <c r="H330" s="15"/>
      <c r="I330" s="15"/>
      <c r="K330" s="16"/>
    </row>
    <row r="331" customFormat="false" ht="15" hidden="false" customHeight="false" outlineLevel="0" collapsed="false">
      <c r="F331" s="15"/>
      <c r="G331" s="15"/>
      <c r="H331" s="15"/>
      <c r="I331" s="15"/>
      <c r="K331" s="16"/>
    </row>
    <row r="332" customFormat="false" ht="15" hidden="false" customHeight="false" outlineLevel="0" collapsed="false">
      <c r="F332" s="15"/>
      <c r="G332" s="15"/>
      <c r="H332" s="15"/>
      <c r="I332" s="15"/>
      <c r="K332" s="16"/>
    </row>
    <row r="333" customFormat="false" ht="15" hidden="false" customHeight="false" outlineLevel="0" collapsed="false">
      <c r="F333" s="15"/>
      <c r="G333" s="15"/>
      <c r="H333" s="15"/>
      <c r="I333" s="15"/>
      <c r="K333" s="16"/>
    </row>
    <row r="334" customFormat="false" ht="15" hidden="false" customHeight="false" outlineLevel="0" collapsed="false">
      <c r="F334" s="15"/>
      <c r="G334" s="15"/>
      <c r="H334" s="15"/>
      <c r="I334" s="15"/>
      <c r="K334" s="16"/>
    </row>
    <row r="335" customFormat="false" ht="15" hidden="false" customHeight="false" outlineLevel="0" collapsed="false">
      <c r="F335" s="15"/>
      <c r="G335" s="15"/>
      <c r="H335" s="15"/>
      <c r="I335" s="15"/>
      <c r="K335" s="16"/>
    </row>
    <row r="336" customFormat="false" ht="15" hidden="false" customHeight="false" outlineLevel="0" collapsed="false">
      <c r="F336" s="15"/>
      <c r="G336" s="15"/>
      <c r="H336" s="15"/>
      <c r="I336" s="15"/>
      <c r="K336" s="16"/>
    </row>
    <row r="337" customFormat="false" ht="15" hidden="false" customHeight="false" outlineLevel="0" collapsed="false">
      <c r="F337" s="15"/>
      <c r="G337" s="15"/>
      <c r="H337" s="15"/>
      <c r="I337" s="15"/>
      <c r="K337" s="16"/>
    </row>
    <row r="338" customFormat="false" ht="15" hidden="false" customHeight="false" outlineLevel="0" collapsed="false">
      <c r="F338" s="15"/>
      <c r="G338" s="15"/>
      <c r="H338" s="15"/>
      <c r="I338" s="15"/>
      <c r="K338" s="16"/>
    </row>
    <row r="339" customFormat="false" ht="15" hidden="false" customHeight="false" outlineLevel="0" collapsed="false">
      <c r="F339" s="15"/>
      <c r="G339" s="15"/>
      <c r="H339" s="15"/>
      <c r="I339" s="15"/>
      <c r="K339" s="16"/>
    </row>
    <row r="340" customFormat="false" ht="15" hidden="false" customHeight="false" outlineLevel="0" collapsed="false">
      <c r="F340" s="15"/>
      <c r="G340" s="15"/>
      <c r="H340" s="15"/>
      <c r="I340" s="15"/>
      <c r="K340" s="16"/>
    </row>
    <row r="341" customFormat="false" ht="15" hidden="false" customHeight="false" outlineLevel="0" collapsed="false">
      <c r="F341" s="15"/>
      <c r="G341" s="15"/>
      <c r="H341" s="15"/>
      <c r="I341" s="15"/>
      <c r="K341" s="16"/>
    </row>
    <row r="342" customFormat="false" ht="15" hidden="false" customHeight="false" outlineLevel="0" collapsed="false">
      <c r="F342" s="15"/>
      <c r="G342" s="15"/>
      <c r="H342" s="15"/>
      <c r="I342" s="15"/>
      <c r="K342" s="16"/>
    </row>
    <row r="343" customFormat="false" ht="15" hidden="false" customHeight="false" outlineLevel="0" collapsed="false">
      <c r="F343" s="15"/>
      <c r="G343" s="15"/>
      <c r="H343" s="15"/>
      <c r="I343" s="15"/>
      <c r="K343" s="16"/>
    </row>
    <row r="344" customFormat="false" ht="15" hidden="false" customHeight="false" outlineLevel="0" collapsed="false">
      <c r="F344" s="15"/>
      <c r="G344" s="15"/>
      <c r="H344" s="15"/>
      <c r="I344" s="15"/>
      <c r="K344" s="16"/>
    </row>
    <row r="345" customFormat="false" ht="15" hidden="false" customHeight="false" outlineLevel="0" collapsed="false">
      <c r="F345" s="15"/>
      <c r="G345" s="15"/>
      <c r="H345" s="15"/>
      <c r="I345" s="15"/>
      <c r="K345" s="16"/>
    </row>
    <row r="346" customFormat="false" ht="15" hidden="false" customHeight="false" outlineLevel="0" collapsed="false">
      <c r="F346" s="15"/>
      <c r="G346" s="15"/>
      <c r="H346" s="15"/>
      <c r="I346" s="15"/>
      <c r="K346" s="16"/>
    </row>
    <row r="347" customFormat="false" ht="15" hidden="false" customHeight="false" outlineLevel="0" collapsed="false">
      <c r="F347" s="15"/>
      <c r="G347" s="15"/>
      <c r="H347" s="15"/>
      <c r="I347" s="15"/>
      <c r="K347" s="16"/>
    </row>
    <row r="348" customFormat="false" ht="15" hidden="false" customHeight="false" outlineLevel="0" collapsed="false">
      <c r="F348" s="15"/>
      <c r="G348" s="15"/>
      <c r="H348" s="15"/>
      <c r="I348" s="15"/>
      <c r="K348" s="16"/>
    </row>
    <row r="349" customFormat="false" ht="15" hidden="false" customHeight="false" outlineLevel="0" collapsed="false">
      <c r="F349" s="15"/>
      <c r="G349" s="15"/>
      <c r="H349" s="15"/>
      <c r="I349" s="15"/>
      <c r="K349" s="16"/>
    </row>
    <row r="350" customFormat="false" ht="15" hidden="false" customHeight="false" outlineLevel="0" collapsed="false">
      <c r="F350" s="15"/>
      <c r="G350" s="15"/>
      <c r="H350" s="15"/>
      <c r="I350" s="15"/>
      <c r="K350" s="16"/>
    </row>
    <row r="351" customFormat="false" ht="15" hidden="false" customHeight="false" outlineLevel="0" collapsed="false">
      <c r="F351" s="15"/>
      <c r="G351" s="15"/>
      <c r="H351" s="15"/>
      <c r="I351" s="15"/>
      <c r="K351" s="16"/>
    </row>
    <row r="352" customFormat="false" ht="15" hidden="false" customHeight="false" outlineLevel="0" collapsed="false">
      <c r="F352" s="15"/>
      <c r="G352" s="15"/>
      <c r="H352" s="15"/>
      <c r="I352" s="15"/>
      <c r="K352" s="16"/>
    </row>
    <row r="353" customFormat="false" ht="15" hidden="false" customHeight="false" outlineLevel="0" collapsed="false">
      <c r="F353" s="15"/>
      <c r="G353" s="15"/>
      <c r="H353" s="15"/>
      <c r="I353" s="15"/>
      <c r="K353" s="16"/>
    </row>
    <row r="354" customFormat="false" ht="15" hidden="false" customHeight="false" outlineLevel="0" collapsed="false">
      <c r="F354" s="15"/>
      <c r="G354" s="15"/>
      <c r="H354" s="15"/>
      <c r="I354" s="15"/>
      <c r="K354" s="16"/>
    </row>
    <row r="355" customFormat="false" ht="15" hidden="false" customHeight="false" outlineLevel="0" collapsed="false">
      <c r="F355" s="15"/>
      <c r="G355" s="15"/>
      <c r="H355" s="15"/>
      <c r="I355" s="15"/>
      <c r="K355" s="16"/>
    </row>
    <row r="356" customFormat="false" ht="15" hidden="false" customHeight="false" outlineLevel="0" collapsed="false">
      <c r="F356" s="15"/>
      <c r="G356" s="15"/>
      <c r="H356" s="15"/>
      <c r="I356" s="15"/>
      <c r="K356" s="16"/>
    </row>
    <row r="357" customFormat="false" ht="15" hidden="false" customHeight="false" outlineLevel="0" collapsed="false">
      <c r="F357" s="15"/>
      <c r="G357" s="15"/>
      <c r="H357" s="15"/>
      <c r="I357" s="15"/>
      <c r="K357" s="16"/>
    </row>
    <row r="358" customFormat="false" ht="15" hidden="false" customHeight="false" outlineLevel="0" collapsed="false">
      <c r="F358" s="15"/>
      <c r="G358" s="15"/>
      <c r="H358" s="15"/>
      <c r="I358" s="15"/>
      <c r="K358" s="16"/>
    </row>
    <row r="359" customFormat="false" ht="15" hidden="false" customHeight="false" outlineLevel="0" collapsed="false">
      <c r="F359" s="15"/>
      <c r="G359" s="15"/>
      <c r="H359" s="15"/>
      <c r="I359" s="15"/>
      <c r="K359" s="16"/>
    </row>
    <row r="360" customFormat="false" ht="15" hidden="false" customHeight="false" outlineLevel="0" collapsed="false">
      <c r="F360" s="15"/>
      <c r="G360" s="15"/>
      <c r="H360" s="15"/>
      <c r="I360" s="15"/>
      <c r="K360" s="16"/>
    </row>
    <row r="361" customFormat="false" ht="15" hidden="false" customHeight="false" outlineLevel="0" collapsed="false">
      <c r="F361" s="15"/>
      <c r="G361" s="15"/>
      <c r="H361" s="15"/>
      <c r="I361" s="15"/>
      <c r="K361" s="16"/>
    </row>
    <row r="362" customFormat="false" ht="15" hidden="false" customHeight="false" outlineLevel="0" collapsed="false">
      <c r="F362" s="15"/>
      <c r="G362" s="15"/>
      <c r="H362" s="15"/>
      <c r="I362" s="15"/>
      <c r="K362" s="16"/>
    </row>
    <row r="363" customFormat="false" ht="15" hidden="false" customHeight="false" outlineLevel="0" collapsed="false">
      <c r="F363" s="15"/>
      <c r="G363" s="15"/>
      <c r="H363" s="15"/>
      <c r="I363" s="15"/>
      <c r="K363" s="16"/>
    </row>
    <row r="364" customFormat="false" ht="15" hidden="false" customHeight="false" outlineLevel="0" collapsed="false">
      <c r="F364" s="15"/>
      <c r="G364" s="15"/>
      <c r="H364" s="15"/>
      <c r="I364" s="15"/>
      <c r="K364" s="16"/>
    </row>
    <row r="365" customFormat="false" ht="15" hidden="false" customHeight="false" outlineLevel="0" collapsed="false">
      <c r="F365" s="15"/>
      <c r="G365" s="15"/>
      <c r="H365" s="15"/>
      <c r="I365" s="15"/>
      <c r="K365" s="16"/>
    </row>
    <row r="366" customFormat="false" ht="15" hidden="false" customHeight="false" outlineLevel="0" collapsed="false">
      <c r="F366" s="15"/>
      <c r="G366" s="15"/>
      <c r="H366" s="15"/>
      <c r="I366" s="15"/>
      <c r="K366" s="16"/>
    </row>
    <row r="367" customFormat="false" ht="15" hidden="false" customHeight="false" outlineLevel="0" collapsed="false">
      <c r="F367" s="15"/>
      <c r="G367" s="15"/>
      <c r="H367" s="15"/>
      <c r="I367" s="15"/>
      <c r="K367" s="16"/>
    </row>
    <row r="368" customFormat="false" ht="15" hidden="false" customHeight="false" outlineLevel="0" collapsed="false">
      <c r="F368" s="15"/>
      <c r="G368" s="15"/>
      <c r="H368" s="15"/>
      <c r="I368" s="15"/>
      <c r="K368" s="16"/>
    </row>
    <row r="369" customFormat="false" ht="15" hidden="false" customHeight="false" outlineLevel="0" collapsed="false">
      <c r="F369" s="15"/>
      <c r="G369" s="15"/>
      <c r="H369" s="15"/>
      <c r="I369" s="15"/>
      <c r="K369" s="16"/>
    </row>
    <row r="370" customFormat="false" ht="15" hidden="false" customHeight="false" outlineLevel="0" collapsed="false">
      <c r="F370" s="15"/>
      <c r="G370" s="15"/>
      <c r="H370" s="15"/>
      <c r="I370" s="15"/>
      <c r="K370" s="16"/>
    </row>
    <row r="371" customFormat="false" ht="15" hidden="false" customHeight="false" outlineLevel="0" collapsed="false">
      <c r="F371" s="15"/>
      <c r="G371" s="15"/>
      <c r="H371" s="15"/>
      <c r="I371" s="15"/>
      <c r="K371" s="16"/>
    </row>
    <row r="372" customFormat="false" ht="15" hidden="false" customHeight="false" outlineLevel="0" collapsed="false">
      <c r="F372" s="15"/>
      <c r="G372" s="15"/>
      <c r="H372" s="15"/>
      <c r="I372" s="15"/>
      <c r="K372" s="16"/>
    </row>
    <row r="373" customFormat="false" ht="15" hidden="false" customHeight="false" outlineLevel="0" collapsed="false">
      <c r="F373" s="15"/>
      <c r="G373" s="15"/>
      <c r="H373" s="15"/>
      <c r="I373" s="15"/>
      <c r="K373" s="16"/>
    </row>
    <row r="374" customFormat="false" ht="15" hidden="false" customHeight="false" outlineLevel="0" collapsed="false">
      <c r="F374" s="15"/>
      <c r="G374" s="15"/>
      <c r="H374" s="15"/>
      <c r="I374" s="15"/>
      <c r="K374" s="16"/>
    </row>
    <row r="375" customFormat="false" ht="15" hidden="false" customHeight="false" outlineLevel="0" collapsed="false">
      <c r="F375" s="15"/>
      <c r="G375" s="15"/>
      <c r="H375" s="15"/>
      <c r="I375" s="15"/>
      <c r="K375" s="16"/>
    </row>
    <row r="376" customFormat="false" ht="15" hidden="false" customHeight="false" outlineLevel="0" collapsed="false">
      <c r="F376" s="15"/>
      <c r="G376" s="15"/>
      <c r="H376" s="15"/>
      <c r="I376" s="15"/>
      <c r="K376" s="16"/>
    </row>
    <row r="377" customFormat="false" ht="15" hidden="false" customHeight="false" outlineLevel="0" collapsed="false">
      <c r="F377" s="15"/>
      <c r="G377" s="15"/>
      <c r="H377" s="15"/>
      <c r="I377" s="15"/>
      <c r="K377" s="16"/>
    </row>
    <row r="378" customFormat="false" ht="15" hidden="false" customHeight="false" outlineLevel="0" collapsed="false">
      <c r="F378" s="15"/>
      <c r="G378" s="15"/>
      <c r="H378" s="15"/>
      <c r="I378" s="15"/>
      <c r="K378" s="16"/>
    </row>
    <row r="379" customFormat="false" ht="15" hidden="false" customHeight="false" outlineLevel="0" collapsed="false">
      <c r="F379" s="15"/>
      <c r="G379" s="15"/>
      <c r="H379" s="15"/>
      <c r="I379" s="15"/>
      <c r="K379" s="16"/>
    </row>
    <row r="380" customFormat="false" ht="15" hidden="false" customHeight="false" outlineLevel="0" collapsed="false">
      <c r="F380" s="15"/>
      <c r="G380" s="15"/>
      <c r="H380" s="15"/>
      <c r="I380" s="15"/>
      <c r="K380" s="16"/>
    </row>
    <row r="381" customFormat="false" ht="15" hidden="false" customHeight="false" outlineLevel="0" collapsed="false">
      <c r="F381" s="15"/>
      <c r="G381" s="15"/>
      <c r="H381" s="15"/>
      <c r="I381" s="15"/>
      <c r="K381" s="16"/>
    </row>
    <row r="382" customFormat="false" ht="15" hidden="false" customHeight="false" outlineLevel="0" collapsed="false">
      <c r="F382" s="15"/>
      <c r="G382" s="15"/>
      <c r="H382" s="15"/>
      <c r="I382" s="15"/>
      <c r="K382" s="16"/>
    </row>
    <row r="383" customFormat="false" ht="15" hidden="false" customHeight="false" outlineLevel="0" collapsed="false">
      <c r="F383" s="15"/>
      <c r="G383" s="15"/>
      <c r="H383" s="15"/>
      <c r="I383" s="15"/>
      <c r="K383" s="16"/>
    </row>
    <row r="384" customFormat="false" ht="15" hidden="false" customHeight="false" outlineLevel="0" collapsed="false">
      <c r="F384" s="15"/>
      <c r="G384" s="15"/>
      <c r="H384" s="15"/>
      <c r="I384" s="15"/>
      <c r="K384" s="16"/>
    </row>
    <row r="385" customFormat="false" ht="15" hidden="false" customHeight="false" outlineLevel="0" collapsed="false">
      <c r="F385" s="15"/>
      <c r="G385" s="15"/>
      <c r="H385" s="15"/>
      <c r="I385" s="15"/>
      <c r="K385" s="16"/>
    </row>
    <row r="386" customFormat="false" ht="15" hidden="false" customHeight="false" outlineLevel="0" collapsed="false">
      <c r="F386" s="15"/>
      <c r="G386" s="15"/>
      <c r="H386" s="15"/>
      <c r="I386" s="15"/>
      <c r="K386" s="16"/>
    </row>
    <row r="387" customFormat="false" ht="15" hidden="false" customHeight="false" outlineLevel="0" collapsed="false">
      <c r="F387" s="15"/>
      <c r="G387" s="15"/>
      <c r="H387" s="15"/>
      <c r="I387" s="15"/>
      <c r="K387" s="16"/>
    </row>
    <row r="388" customFormat="false" ht="15" hidden="false" customHeight="false" outlineLevel="0" collapsed="false">
      <c r="F388" s="15"/>
      <c r="G388" s="15"/>
      <c r="H388" s="15"/>
      <c r="I388" s="15"/>
      <c r="K388" s="16"/>
    </row>
    <row r="389" customFormat="false" ht="15" hidden="false" customHeight="false" outlineLevel="0" collapsed="false">
      <c r="F389" s="15"/>
      <c r="G389" s="15"/>
      <c r="H389" s="15"/>
      <c r="I389" s="15"/>
      <c r="K389" s="16"/>
    </row>
    <row r="390" customFormat="false" ht="15" hidden="false" customHeight="false" outlineLevel="0" collapsed="false">
      <c r="F390" s="15"/>
      <c r="G390" s="15"/>
      <c r="H390" s="15"/>
      <c r="I390" s="15"/>
      <c r="K390" s="16"/>
    </row>
    <row r="391" customFormat="false" ht="15" hidden="false" customHeight="false" outlineLevel="0" collapsed="false">
      <c r="F391" s="15"/>
      <c r="G391" s="15"/>
      <c r="H391" s="15"/>
      <c r="I391" s="15"/>
      <c r="K391" s="16"/>
    </row>
    <row r="392" customFormat="false" ht="15" hidden="false" customHeight="false" outlineLevel="0" collapsed="false">
      <c r="F392" s="15"/>
      <c r="G392" s="15"/>
      <c r="H392" s="15"/>
      <c r="I392" s="15"/>
      <c r="K392" s="16"/>
    </row>
    <row r="393" customFormat="false" ht="15" hidden="false" customHeight="false" outlineLevel="0" collapsed="false">
      <c r="F393" s="15"/>
      <c r="G393" s="15"/>
      <c r="H393" s="15"/>
      <c r="I393" s="15"/>
      <c r="K393" s="16"/>
    </row>
    <row r="394" customFormat="false" ht="15" hidden="false" customHeight="false" outlineLevel="0" collapsed="false">
      <c r="F394" s="15"/>
      <c r="G394" s="15"/>
      <c r="H394" s="15"/>
      <c r="I394" s="15"/>
      <c r="K394" s="16"/>
    </row>
    <row r="395" customFormat="false" ht="15" hidden="false" customHeight="false" outlineLevel="0" collapsed="false">
      <c r="F395" s="15"/>
      <c r="G395" s="15"/>
      <c r="H395" s="15"/>
      <c r="I395" s="15"/>
      <c r="K395" s="16"/>
    </row>
    <row r="396" customFormat="false" ht="15" hidden="false" customHeight="false" outlineLevel="0" collapsed="false">
      <c r="F396" s="15"/>
      <c r="G396" s="15"/>
      <c r="H396" s="15"/>
      <c r="I396" s="15"/>
      <c r="K396" s="16"/>
    </row>
    <row r="397" customFormat="false" ht="15" hidden="false" customHeight="false" outlineLevel="0" collapsed="false">
      <c r="F397" s="15"/>
      <c r="G397" s="15"/>
      <c r="H397" s="15"/>
      <c r="I397" s="15"/>
      <c r="K397" s="16"/>
    </row>
    <row r="398" customFormat="false" ht="15" hidden="false" customHeight="false" outlineLevel="0" collapsed="false">
      <c r="F398" s="15"/>
      <c r="G398" s="15"/>
      <c r="H398" s="15"/>
      <c r="I398" s="15"/>
      <c r="K398" s="16"/>
    </row>
    <row r="399" customFormat="false" ht="15" hidden="false" customHeight="false" outlineLevel="0" collapsed="false">
      <c r="F399" s="15"/>
      <c r="G399" s="15"/>
      <c r="H399" s="15"/>
      <c r="I399" s="15"/>
      <c r="K399" s="16"/>
    </row>
    <row r="400" customFormat="false" ht="15" hidden="false" customHeight="false" outlineLevel="0" collapsed="false">
      <c r="F400" s="15"/>
      <c r="G400" s="15"/>
      <c r="H400" s="15"/>
      <c r="I400" s="15"/>
      <c r="K400" s="16"/>
    </row>
    <row r="401" customFormat="false" ht="15" hidden="false" customHeight="false" outlineLevel="0" collapsed="false">
      <c r="F401" s="15"/>
      <c r="G401" s="15"/>
      <c r="H401" s="15"/>
      <c r="I401" s="15"/>
      <c r="K401" s="16"/>
    </row>
    <row r="402" customFormat="false" ht="15" hidden="false" customHeight="false" outlineLevel="0" collapsed="false">
      <c r="F402" s="15"/>
      <c r="G402" s="15"/>
      <c r="H402" s="15"/>
      <c r="I402" s="15"/>
      <c r="K402" s="16"/>
    </row>
    <row r="403" customFormat="false" ht="15" hidden="false" customHeight="false" outlineLevel="0" collapsed="false">
      <c r="F403" s="15"/>
      <c r="G403" s="15"/>
      <c r="H403" s="15"/>
      <c r="I403" s="15"/>
      <c r="K403" s="16"/>
    </row>
    <row r="404" customFormat="false" ht="15" hidden="false" customHeight="false" outlineLevel="0" collapsed="false">
      <c r="F404" s="15"/>
      <c r="G404" s="15"/>
      <c r="H404" s="15"/>
      <c r="I404" s="15"/>
      <c r="K404" s="16"/>
    </row>
    <row r="405" customFormat="false" ht="15" hidden="false" customHeight="false" outlineLevel="0" collapsed="false">
      <c r="F405" s="15"/>
      <c r="G405" s="15"/>
      <c r="H405" s="15"/>
      <c r="I405" s="15"/>
      <c r="K405" s="16"/>
    </row>
    <row r="406" customFormat="false" ht="15" hidden="false" customHeight="false" outlineLevel="0" collapsed="false">
      <c r="F406" s="15"/>
      <c r="G406" s="15"/>
      <c r="H406" s="15"/>
      <c r="I406" s="15"/>
      <c r="K406" s="16"/>
    </row>
    <row r="407" customFormat="false" ht="15" hidden="false" customHeight="false" outlineLevel="0" collapsed="false">
      <c r="F407" s="15"/>
      <c r="G407" s="15"/>
      <c r="H407" s="15"/>
      <c r="I407" s="15"/>
      <c r="K407" s="16"/>
    </row>
    <row r="408" customFormat="false" ht="15" hidden="false" customHeight="false" outlineLevel="0" collapsed="false">
      <c r="F408" s="15"/>
      <c r="G408" s="15"/>
      <c r="H408" s="15"/>
      <c r="I408" s="15"/>
      <c r="K408" s="16"/>
    </row>
    <row r="409" customFormat="false" ht="15" hidden="false" customHeight="false" outlineLevel="0" collapsed="false">
      <c r="F409" s="15"/>
      <c r="G409" s="15"/>
      <c r="H409" s="15"/>
      <c r="I409" s="15"/>
      <c r="K409" s="16"/>
    </row>
    <row r="410" customFormat="false" ht="15" hidden="false" customHeight="false" outlineLevel="0" collapsed="false">
      <c r="F410" s="15"/>
      <c r="G410" s="15"/>
      <c r="H410" s="15"/>
      <c r="I410" s="15"/>
      <c r="K410" s="16"/>
    </row>
    <row r="411" customFormat="false" ht="15" hidden="false" customHeight="false" outlineLevel="0" collapsed="false">
      <c r="F411" s="15"/>
      <c r="G411" s="15"/>
      <c r="H411" s="15"/>
      <c r="I411" s="15"/>
      <c r="K411" s="16"/>
    </row>
    <row r="412" customFormat="false" ht="15" hidden="false" customHeight="false" outlineLevel="0" collapsed="false">
      <c r="F412" s="15"/>
      <c r="G412" s="15"/>
      <c r="H412" s="15"/>
      <c r="I412" s="15"/>
      <c r="K412" s="16"/>
    </row>
    <row r="413" customFormat="false" ht="15" hidden="false" customHeight="false" outlineLevel="0" collapsed="false">
      <c r="F413" s="15"/>
      <c r="G413" s="15"/>
      <c r="H413" s="15"/>
      <c r="I413" s="15"/>
      <c r="K413" s="16"/>
    </row>
    <row r="414" customFormat="false" ht="15" hidden="false" customHeight="false" outlineLevel="0" collapsed="false">
      <c r="F414" s="15"/>
      <c r="G414" s="15"/>
      <c r="H414" s="15"/>
      <c r="I414" s="15"/>
      <c r="K414" s="16"/>
    </row>
    <row r="415" customFormat="false" ht="15" hidden="false" customHeight="false" outlineLevel="0" collapsed="false">
      <c r="F415" s="15"/>
      <c r="G415" s="15"/>
      <c r="H415" s="15"/>
      <c r="I415" s="15"/>
      <c r="K415" s="16"/>
    </row>
    <row r="416" customFormat="false" ht="15" hidden="false" customHeight="false" outlineLevel="0" collapsed="false">
      <c r="F416" s="15"/>
      <c r="G416" s="15"/>
      <c r="H416" s="15"/>
      <c r="I416" s="15"/>
      <c r="K416" s="16"/>
    </row>
    <row r="417" customFormat="false" ht="15" hidden="false" customHeight="false" outlineLevel="0" collapsed="false">
      <c r="F417" s="15"/>
      <c r="G417" s="15"/>
      <c r="H417" s="15"/>
      <c r="I417" s="15"/>
      <c r="K417" s="16"/>
    </row>
    <row r="418" customFormat="false" ht="15" hidden="false" customHeight="false" outlineLevel="0" collapsed="false">
      <c r="F418" s="15"/>
      <c r="G418" s="15"/>
      <c r="H418" s="15"/>
      <c r="I418" s="15"/>
      <c r="K418" s="16"/>
    </row>
    <row r="419" customFormat="false" ht="15" hidden="false" customHeight="false" outlineLevel="0" collapsed="false">
      <c r="F419" s="15"/>
      <c r="G419" s="15"/>
      <c r="H419" s="15"/>
      <c r="I419" s="15"/>
      <c r="K419" s="16"/>
    </row>
    <row r="420" customFormat="false" ht="15" hidden="false" customHeight="false" outlineLevel="0" collapsed="false">
      <c r="F420" s="15"/>
      <c r="G420" s="15"/>
      <c r="H420" s="15"/>
      <c r="I420" s="15"/>
      <c r="K420" s="16"/>
    </row>
    <row r="421" customFormat="false" ht="15" hidden="false" customHeight="false" outlineLevel="0" collapsed="false">
      <c r="F421" s="15"/>
      <c r="G421" s="15"/>
      <c r="H421" s="15"/>
      <c r="I421" s="15"/>
      <c r="K421" s="16"/>
    </row>
    <row r="422" customFormat="false" ht="15" hidden="false" customHeight="false" outlineLevel="0" collapsed="false">
      <c r="F422" s="15"/>
      <c r="G422" s="15"/>
      <c r="H422" s="15"/>
      <c r="I422" s="15"/>
      <c r="K422" s="16"/>
    </row>
    <row r="423" customFormat="false" ht="15" hidden="false" customHeight="false" outlineLevel="0" collapsed="false">
      <c r="F423" s="15"/>
      <c r="G423" s="15"/>
      <c r="H423" s="15"/>
      <c r="I423" s="15"/>
      <c r="K423" s="16"/>
    </row>
    <row r="424" customFormat="false" ht="15" hidden="false" customHeight="false" outlineLevel="0" collapsed="false">
      <c r="F424" s="15"/>
      <c r="G424" s="15"/>
      <c r="H424" s="15"/>
      <c r="I424" s="15"/>
      <c r="K424" s="16"/>
    </row>
    <row r="425" customFormat="false" ht="15" hidden="false" customHeight="false" outlineLevel="0" collapsed="false">
      <c r="F425" s="15"/>
      <c r="G425" s="15"/>
      <c r="H425" s="15"/>
      <c r="I425" s="15"/>
      <c r="K425" s="16"/>
    </row>
    <row r="426" customFormat="false" ht="15" hidden="false" customHeight="false" outlineLevel="0" collapsed="false">
      <c r="F426" s="15"/>
      <c r="G426" s="15"/>
      <c r="H426" s="15"/>
      <c r="I426" s="15"/>
      <c r="K426" s="16"/>
    </row>
    <row r="427" customFormat="false" ht="15" hidden="false" customHeight="false" outlineLevel="0" collapsed="false">
      <c r="F427" s="15"/>
      <c r="G427" s="15"/>
      <c r="H427" s="15"/>
      <c r="I427" s="15"/>
      <c r="K427" s="16"/>
    </row>
    <row r="428" customFormat="false" ht="15" hidden="false" customHeight="false" outlineLevel="0" collapsed="false">
      <c r="F428" s="15"/>
      <c r="G428" s="15"/>
      <c r="H428" s="15"/>
      <c r="I428" s="15"/>
      <c r="K428" s="16"/>
    </row>
    <row r="429" customFormat="false" ht="15" hidden="false" customHeight="false" outlineLevel="0" collapsed="false">
      <c r="F429" s="15"/>
      <c r="G429" s="15"/>
      <c r="H429" s="15"/>
      <c r="I429" s="15"/>
      <c r="K429" s="16"/>
    </row>
    <row r="430" customFormat="false" ht="15" hidden="false" customHeight="false" outlineLevel="0" collapsed="false">
      <c r="F430" s="15"/>
      <c r="G430" s="15"/>
      <c r="H430" s="15"/>
      <c r="I430" s="15"/>
      <c r="K430" s="16"/>
    </row>
    <row r="431" customFormat="false" ht="15" hidden="false" customHeight="false" outlineLevel="0" collapsed="false">
      <c r="F431" s="15"/>
      <c r="G431" s="15"/>
      <c r="H431" s="15"/>
      <c r="I431" s="15"/>
      <c r="K431" s="16"/>
    </row>
    <row r="432" customFormat="false" ht="15" hidden="false" customHeight="false" outlineLevel="0" collapsed="false">
      <c r="F432" s="15"/>
      <c r="G432" s="15"/>
      <c r="H432" s="15"/>
      <c r="I432" s="15"/>
      <c r="K432" s="16"/>
    </row>
    <row r="433" customFormat="false" ht="15" hidden="false" customHeight="false" outlineLevel="0" collapsed="false">
      <c r="F433" s="15"/>
      <c r="G433" s="15"/>
      <c r="H433" s="15"/>
      <c r="I433" s="15"/>
      <c r="K433" s="16"/>
    </row>
    <row r="434" customFormat="false" ht="15" hidden="false" customHeight="false" outlineLevel="0" collapsed="false">
      <c r="F434" s="15"/>
      <c r="G434" s="15"/>
      <c r="H434" s="15"/>
      <c r="I434" s="15"/>
      <c r="K434" s="16"/>
    </row>
    <row r="435" customFormat="false" ht="15" hidden="false" customHeight="false" outlineLevel="0" collapsed="false">
      <c r="F435" s="15"/>
      <c r="G435" s="15"/>
      <c r="H435" s="15"/>
      <c r="I435" s="15"/>
      <c r="K435" s="16"/>
    </row>
    <row r="436" customFormat="false" ht="15" hidden="false" customHeight="false" outlineLevel="0" collapsed="false">
      <c r="F436" s="15"/>
      <c r="G436" s="15"/>
      <c r="H436" s="15"/>
      <c r="I436" s="15"/>
      <c r="K436" s="16"/>
    </row>
    <row r="437" customFormat="false" ht="15" hidden="false" customHeight="false" outlineLevel="0" collapsed="false">
      <c r="F437" s="15"/>
      <c r="G437" s="15"/>
      <c r="H437" s="15"/>
      <c r="I437" s="15"/>
      <c r="K437" s="16"/>
    </row>
    <row r="438" customFormat="false" ht="15" hidden="false" customHeight="false" outlineLevel="0" collapsed="false">
      <c r="F438" s="15"/>
      <c r="G438" s="15"/>
      <c r="H438" s="15"/>
      <c r="I438" s="15"/>
      <c r="K438" s="16"/>
    </row>
    <row r="439" customFormat="false" ht="15" hidden="false" customHeight="false" outlineLevel="0" collapsed="false">
      <c r="F439" s="15"/>
      <c r="G439" s="15"/>
      <c r="H439" s="15"/>
      <c r="I439" s="15"/>
      <c r="K439" s="16"/>
    </row>
    <row r="440" customFormat="false" ht="15" hidden="false" customHeight="false" outlineLevel="0" collapsed="false">
      <c r="F440" s="15"/>
      <c r="G440" s="15"/>
      <c r="H440" s="15"/>
      <c r="I440" s="15"/>
      <c r="K440" s="16"/>
    </row>
    <row r="441" customFormat="false" ht="15" hidden="false" customHeight="false" outlineLevel="0" collapsed="false">
      <c r="F441" s="15"/>
      <c r="G441" s="15"/>
      <c r="H441" s="15"/>
      <c r="I441" s="15"/>
      <c r="K441" s="16"/>
    </row>
    <row r="442" customFormat="false" ht="15" hidden="false" customHeight="false" outlineLevel="0" collapsed="false">
      <c r="F442" s="15"/>
      <c r="G442" s="15"/>
      <c r="H442" s="15"/>
      <c r="I442" s="15"/>
      <c r="K442" s="16"/>
    </row>
    <row r="443" customFormat="false" ht="15" hidden="false" customHeight="false" outlineLevel="0" collapsed="false">
      <c r="F443" s="15"/>
      <c r="G443" s="15"/>
      <c r="H443" s="15"/>
      <c r="I443" s="15"/>
      <c r="K443" s="16"/>
    </row>
    <row r="444" customFormat="false" ht="15" hidden="false" customHeight="false" outlineLevel="0" collapsed="false">
      <c r="F444" s="15"/>
      <c r="G444" s="15"/>
      <c r="H444" s="15"/>
      <c r="I444" s="15"/>
      <c r="K444" s="16"/>
    </row>
    <row r="445" customFormat="false" ht="15" hidden="false" customHeight="false" outlineLevel="0" collapsed="false">
      <c r="F445" s="15"/>
      <c r="G445" s="15"/>
      <c r="H445" s="15"/>
      <c r="I445" s="15"/>
      <c r="K445" s="16"/>
    </row>
    <row r="446" customFormat="false" ht="15" hidden="false" customHeight="false" outlineLevel="0" collapsed="false">
      <c r="F446" s="15"/>
      <c r="G446" s="15"/>
      <c r="H446" s="15"/>
      <c r="I446" s="15"/>
      <c r="K446" s="16"/>
    </row>
    <row r="447" customFormat="false" ht="15" hidden="false" customHeight="false" outlineLevel="0" collapsed="false">
      <c r="F447" s="15"/>
      <c r="G447" s="15"/>
      <c r="H447" s="15"/>
      <c r="I447" s="15"/>
      <c r="K447" s="16"/>
    </row>
    <row r="448" customFormat="false" ht="15" hidden="false" customHeight="false" outlineLevel="0" collapsed="false">
      <c r="F448" s="15"/>
      <c r="G448" s="15"/>
      <c r="H448" s="15"/>
      <c r="I448" s="15"/>
      <c r="K448" s="16"/>
    </row>
    <row r="449" customFormat="false" ht="15" hidden="false" customHeight="false" outlineLevel="0" collapsed="false">
      <c r="F449" s="15"/>
      <c r="G449" s="15"/>
      <c r="H449" s="15"/>
      <c r="I449" s="15"/>
      <c r="K449" s="16"/>
    </row>
    <row r="450" customFormat="false" ht="15" hidden="false" customHeight="false" outlineLevel="0" collapsed="false">
      <c r="F450" s="15"/>
      <c r="G450" s="15"/>
      <c r="H450" s="15"/>
      <c r="I450" s="15"/>
      <c r="K450" s="16"/>
    </row>
    <row r="451" customFormat="false" ht="15" hidden="false" customHeight="false" outlineLevel="0" collapsed="false">
      <c r="F451" s="15"/>
      <c r="G451" s="15"/>
      <c r="H451" s="15"/>
      <c r="I451" s="15"/>
      <c r="K451" s="16"/>
    </row>
    <row r="452" customFormat="false" ht="15" hidden="false" customHeight="false" outlineLevel="0" collapsed="false">
      <c r="F452" s="15"/>
      <c r="G452" s="15"/>
      <c r="H452" s="15"/>
      <c r="I452" s="15"/>
      <c r="K452" s="16"/>
    </row>
    <row r="453" customFormat="false" ht="15" hidden="false" customHeight="false" outlineLevel="0" collapsed="false">
      <c r="F453" s="15"/>
      <c r="G453" s="15"/>
      <c r="H453" s="15"/>
      <c r="I453" s="15"/>
      <c r="K453" s="16"/>
    </row>
    <row r="454" customFormat="false" ht="15" hidden="false" customHeight="false" outlineLevel="0" collapsed="false">
      <c r="F454" s="15"/>
      <c r="G454" s="15"/>
      <c r="H454" s="15"/>
      <c r="I454" s="15"/>
      <c r="K454" s="16"/>
    </row>
    <row r="455" customFormat="false" ht="15" hidden="false" customHeight="false" outlineLevel="0" collapsed="false">
      <c r="F455" s="15"/>
      <c r="G455" s="15"/>
      <c r="H455" s="15"/>
      <c r="I455" s="15"/>
      <c r="K455" s="16"/>
    </row>
    <row r="456" customFormat="false" ht="15" hidden="false" customHeight="false" outlineLevel="0" collapsed="false">
      <c r="F456" s="15"/>
      <c r="G456" s="15"/>
      <c r="H456" s="15"/>
      <c r="I456" s="15"/>
      <c r="K456" s="16"/>
    </row>
    <row r="457" customFormat="false" ht="15" hidden="false" customHeight="false" outlineLevel="0" collapsed="false">
      <c r="F457" s="15"/>
      <c r="G457" s="15"/>
      <c r="H457" s="15"/>
      <c r="I457" s="15"/>
      <c r="K457" s="16"/>
    </row>
    <row r="458" customFormat="false" ht="15" hidden="false" customHeight="false" outlineLevel="0" collapsed="false">
      <c r="F458" s="15"/>
      <c r="G458" s="15"/>
      <c r="H458" s="15"/>
      <c r="I458" s="15"/>
      <c r="K458" s="16"/>
    </row>
    <row r="459" customFormat="false" ht="15" hidden="false" customHeight="false" outlineLevel="0" collapsed="false">
      <c r="F459" s="15"/>
      <c r="G459" s="15"/>
      <c r="H459" s="15"/>
      <c r="I459" s="15"/>
      <c r="K459" s="16"/>
    </row>
    <row r="460" customFormat="false" ht="15" hidden="false" customHeight="false" outlineLevel="0" collapsed="false">
      <c r="F460" s="15"/>
      <c r="G460" s="15"/>
      <c r="H460" s="15"/>
      <c r="I460" s="15"/>
      <c r="K460" s="16"/>
    </row>
    <row r="461" customFormat="false" ht="15" hidden="false" customHeight="false" outlineLevel="0" collapsed="false">
      <c r="F461" s="15"/>
      <c r="G461" s="15"/>
      <c r="H461" s="15"/>
      <c r="I461" s="15"/>
      <c r="K461" s="16"/>
    </row>
    <row r="462" customFormat="false" ht="15" hidden="false" customHeight="false" outlineLevel="0" collapsed="false">
      <c r="F462" s="15"/>
      <c r="G462" s="15"/>
      <c r="H462" s="15"/>
      <c r="I462" s="15"/>
      <c r="K462" s="16"/>
    </row>
    <row r="463" customFormat="false" ht="15" hidden="false" customHeight="false" outlineLevel="0" collapsed="false">
      <c r="F463" s="15"/>
      <c r="G463" s="15"/>
      <c r="H463" s="15"/>
      <c r="I463" s="15"/>
      <c r="K463" s="16"/>
    </row>
    <row r="464" customFormat="false" ht="15" hidden="false" customHeight="false" outlineLevel="0" collapsed="false">
      <c r="F464" s="15"/>
      <c r="G464" s="15"/>
      <c r="H464" s="15"/>
      <c r="I464" s="15"/>
      <c r="K464" s="16"/>
    </row>
    <row r="465" customFormat="false" ht="15" hidden="false" customHeight="false" outlineLevel="0" collapsed="false">
      <c r="F465" s="15"/>
      <c r="G465" s="15"/>
      <c r="H465" s="15"/>
      <c r="I465" s="15"/>
      <c r="K465" s="16"/>
    </row>
    <row r="466" customFormat="false" ht="15" hidden="false" customHeight="false" outlineLevel="0" collapsed="false">
      <c r="F466" s="15"/>
      <c r="G466" s="15"/>
      <c r="H466" s="15"/>
      <c r="I466" s="15"/>
      <c r="K466" s="16"/>
    </row>
    <row r="467" customFormat="false" ht="15" hidden="false" customHeight="false" outlineLevel="0" collapsed="false">
      <c r="F467" s="15"/>
      <c r="G467" s="15"/>
      <c r="H467" s="15"/>
      <c r="I467" s="15"/>
      <c r="K467" s="16"/>
    </row>
    <row r="468" customFormat="false" ht="15" hidden="false" customHeight="false" outlineLevel="0" collapsed="false">
      <c r="F468" s="15"/>
      <c r="G468" s="15"/>
      <c r="H468" s="15"/>
      <c r="I468" s="15"/>
      <c r="K468" s="16"/>
    </row>
    <row r="469" customFormat="false" ht="15" hidden="false" customHeight="false" outlineLevel="0" collapsed="false">
      <c r="F469" s="15"/>
      <c r="G469" s="15"/>
      <c r="H469" s="15"/>
      <c r="I469" s="15"/>
      <c r="K469" s="16"/>
    </row>
    <row r="470" customFormat="false" ht="15" hidden="false" customHeight="false" outlineLevel="0" collapsed="false">
      <c r="F470" s="15"/>
      <c r="G470" s="15"/>
      <c r="H470" s="15"/>
      <c r="I470" s="15"/>
      <c r="K470" s="16"/>
    </row>
    <row r="471" customFormat="false" ht="15" hidden="false" customHeight="false" outlineLevel="0" collapsed="false">
      <c r="F471" s="15"/>
      <c r="G471" s="15"/>
      <c r="H471" s="15"/>
      <c r="I471" s="15"/>
      <c r="K471" s="16"/>
    </row>
    <row r="472" customFormat="false" ht="15" hidden="false" customHeight="false" outlineLevel="0" collapsed="false">
      <c r="F472" s="15"/>
      <c r="G472" s="15"/>
      <c r="H472" s="15"/>
      <c r="I472" s="15"/>
      <c r="K472" s="16"/>
    </row>
    <row r="473" customFormat="false" ht="15" hidden="false" customHeight="false" outlineLevel="0" collapsed="false">
      <c r="F473" s="15"/>
      <c r="G473" s="15"/>
      <c r="H473" s="15"/>
      <c r="I473" s="15"/>
      <c r="K473" s="16"/>
    </row>
    <row r="474" customFormat="false" ht="15" hidden="false" customHeight="false" outlineLevel="0" collapsed="false">
      <c r="F474" s="15"/>
      <c r="G474" s="15"/>
      <c r="H474" s="15"/>
      <c r="I474" s="15"/>
      <c r="K474" s="16"/>
    </row>
    <row r="475" customFormat="false" ht="15" hidden="false" customHeight="false" outlineLevel="0" collapsed="false">
      <c r="F475" s="15"/>
      <c r="G475" s="15"/>
      <c r="H475" s="15"/>
      <c r="I475" s="15"/>
      <c r="K475" s="16"/>
    </row>
    <row r="476" customFormat="false" ht="15" hidden="false" customHeight="false" outlineLevel="0" collapsed="false">
      <c r="F476" s="15"/>
      <c r="G476" s="15"/>
      <c r="H476" s="15"/>
      <c r="I476" s="15"/>
      <c r="K476" s="16"/>
    </row>
    <row r="477" customFormat="false" ht="15" hidden="false" customHeight="false" outlineLevel="0" collapsed="false">
      <c r="F477" s="15"/>
      <c r="G477" s="15"/>
      <c r="H477" s="15"/>
      <c r="I477" s="15"/>
      <c r="K477" s="16"/>
    </row>
    <row r="478" customFormat="false" ht="15" hidden="false" customHeight="false" outlineLevel="0" collapsed="false">
      <c r="F478" s="15"/>
      <c r="G478" s="15"/>
      <c r="H478" s="15"/>
      <c r="I478" s="15"/>
      <c r="K478" s="16"/>
    </row>
    <row r="479" customFormat="false" ht="15" hidden="false" customHeight="false" outlineLevel="0" collapsed="false">
      <c r="F479" s="15"/>
      <c r="G479" s="15"/>
      <c r="H479" s="15"/>
      <c r="I479" s="15"/>
      <c r="K479" s="16"/>
    </row>
    <row r="480" customFormat="false" ht="15" hidden="false" customHeight="false" outlineLevel="0" collapsed="false">
      <c r="F480" s="15"/>
      <c r="G480" s="15"/>
      <c r="H480" s="15"/>
      <c r="I480" s="15"/>
      <c r="K480" s="16"/>
    </row>
    <row r="481" customFormat="false" ht="15" hidden="false" customHeight="false" outlineLevel="0" collapsed="false">
      <c r="F481" s="15"/>
      <c r="G481" s="15"/>
      <c r="H481" s="15"/>
      <c r="I481" s="15"/>
      <c r="K481" s="16"/>
    </row>
    <row r="482" customFormat="false" ht="15" hidden="false" customHeight="false" outlineLevel="0" collapsed="false">
      <c r="F482" s="15"/>
      <c r="G482" s="15"/>
      <c r="H482" s="15"/>
      <c r="I482" s="15"/>
      <c r="K482" s="16"/>
    </row>
    <row r="483" customFormat="false" ht="15" hidden="false" customHeight="false" outlineLevel="0" collapsed="false">
      <c r="F483" s="15"/>
      <c r="G483" s="15"/>
      <c r="H483" s="15"/>
      <c r="I483" s="15"/>
      <c r="K483" s="16"/>
    </row>
    <row r="484" customFormat="false" ht="15" hidden="false" customHeight="false" outlineLevel="0" collapsed="false">
      <c r="F484" s="15"/>
      <c r="G484" s="15"/>
      <c r="H484" s="15"/>
      <c r="I484" s="15"/>
      <c r="K484" s="16"/>
    </row>
    <row r="485" customFormat="false" ht="15" hidden="false" customHeight="false" outlineLevel="0" collapsed="false">
      <c r="F485" s="15"/>
      <c r="G485" s="15"/>
      <c r="H485" s="15"/>
      <c r="I485" s="15"/>
      <c r="K485" s="16"/>
    </row>
    <row r="486" customFormat="false" ht="15" hidden="false" customHeight="false" outlineLevel="0" collapsed="false">
      <c r="F486" s="15"/>
      <c r="G486" s="15"/>
      <c r="H486" s="15"/>
      <c r="I486" s="15"/>
      <c r="K486" s="16"/>
    </row>
    <row r="487" customFormat="false" ht="15" hidden="false" customHeight="false" outlineLevel="0" collapsed="false">
      <c r="F487" s="15"/>
      <c r="G487" s="15"/>
      <c r="H487" s="15"/>
      <c r="I487" s="15"/>
      <c r="K487" s="16"/>
    </row>
    <row r="488" customFormat="false" ht="15" hidden="false" customHeight="false" outlineLevel="0" collapsed="false">
      <c r="F488" s="15"/>
      <c r="G488" s="15"/>
      <c r="H488" s="15"/>
      <c r="I488" s="15"/>
      <c r="K488" s="16"/>
    </row>
    <row r="489" customFormat="false" ht="15" hidden="false" customHeight="false" outlineLevel="0" collapsed="false">
      <c r="F489" s="15"/>
      <c r="G489" s="15"/>
      <c r="H489" s="15"/>
      <c r="I489" s="15"/>
      <c r="K489" s="16"/>
    </row>
    <row r="490" customFormat="false" ht="15" hidden="false" customHeight="false" outlineLevel="0" collapsed="false">
      <c r="F490" s="15"/>
      <c r="G490" s="15"/>
      <c r="H490" s="15"/>
      <c r="I490" s="15"/>
      <c r="K490" s="16"/>
    </row>
    <row r="491" customFormat="false" ht="15" hidden="false" customHeight="false" outlineLevel="0" collapsed="false">
      <c r="F491" s="15"/>
      <c r="G491" s="15"/>
      <c r="H491" s="15"/>
      <c r="I491" s="15"/>
      <c r="K491" s="16"/>
    </row>
    <row r="492" customFormat="false" ht="15" hidden="false" customHeight="false" outlineLevel="0" collapsed="false">
      <c r="F492" s="15"/>
      <c r="G492" s="15"/>
      <c r="H492" s="15"/>
      <c r="I492" s="15"/>
      <c r="K492" s="16"/>
    </row>
    <row r="493" customFormat="false" ht="15" hidden="false" customHeight="false" outlineLevel="0" collapsed="false">
      <c r="F493" s="15"/>
      <c r="G493" s="15"/>
      <c r="H493" s="15"/>
      <c r="I493" s="15"/>
      <c r="K493" s="16"/>
    </row>
    <row r="494" customFormat="false" ht="15" hidden="false" customHeight="false" outlineLevel="0" collapsed="false">
      <c r="F494" s="15"/>
      <c r="G494" s="15"/>
      <c r="H494" s="15"/>
      <c r="I494" s="15"/>
      <c r="K494" s="16"/>
    </row>
    <row r="495" customFormat="false" ht="15" hidden="false" customHeight="false" outlineLevel="0" collapsed="false">
      <c r="F495" s="15"/>
      <c r="G495" s="15"/>
      <c r="H495" s="15"/>
      <c r="I495" s="15"/>
      <c r="K495" s="16"/>
    </row>
    <row r="496" customFormat="false" ht="15" hidden="false" customHeight="false" outlineLevel="0" collapsed="false">
      <c r="F496" s="15"/>
      <c r="G496" s="15"/>
      <c r="H496" s="15"/>
      <c r="I496" s="15"/>
      <c r="K496" s="16"/>
    </row>
    <row r="497" customFormat="false" ht="15" hidden="false" customHeight="false" outlineLevel="0" collapsed="false">
      <c r="F497" s="15"/>
      <c r="G497" s="15"/>
      <c r="H497" s="15"/>
      <c r="I497" s="15"/>
      <c r="K497" s="16"/>
    </row>
    <row r="498" customFormat="false" ht="15" hidden="false" customHeight="false" outlineLevel="0" collapsed="false">
      <c r="F498" s="15"/>
      <c r="G498" s="15"/>
      <c r="H498" s="15"/>
      <c r="I498" s="15"/>
      <c r="K498" s="16"/>
    </row>
    <row r="499" customFormat="false" ht="15" hidden="false" customHeight="false" outlineLevel="0" collapsed="false">
      <c r="F499" s="15"/>
      <c r="G499" s="15"/>
      <c r="H499" s="15"/>
      <c r="I499" s="15"/>
      <c r="K499" s="16"/>
    </row>
    <row r="500" customFormat="false" ht="15" hidden="false" customHeight="false" outlineLevel="0" collapsed="false">
      <c r="F500" s="15"/>
      <c r="G500" s="15"/>
      <c r="H500" s="15"/>
      <c r="I500" s="15"/>
      <c r="K500" s="16"/>
    </row>
    <row r="501" customFormat="false" ht="15" hidden="false" customHeight="false" outlineLevel="0" collapsed="false">
      <c r="F501" s="15"/>
      <c r="G501" s="15"/>
      <c r="H501" s="15"/>
      <c r="I501" s="15"/>
      <c r="K501" s="16"/>
    </row>
    <row r="502" customFormat="false" ht="15" hidden="false" customHeight="false" outlineLevel="0" collapsed="false">
      <c r="F502" s="15"/>
      <c r="G502" s="15"/>
      <c r="H502" s="15"/>
      <c r="I502" s="15"/>
      <c r="K502" s="16"/>
    </row>
    <row r="503" customFormat="false" ht="15" hidden="false" customHeight="false" outlineLevel="0" collapsed="false">
      <c r="F503" s="15"/>
      <c r="G503" s="15"/>
      <c r="H503" s="15"/>
      <c r="I503" s="15"/>
      <c r="K503" s="16"/>
    </row>
    <row r="504" customFormat="false" ht="15" hidden="false" customHeight="false" outlineLevel="0" collapsed="false">
      <c r="F504" s="15"/>
      <c r="G504" s="15"/>
      <c r="H504" s="15"/>
      <c r="I504" s="15"/>
      <c r="K504" s="16"/>
    </row>
  </sheetData>
  <dataValidations count="4">
    <dataValidation allowBlank="true" error="Kies een waarde uit de lijst." errorStyle="stop" errorTitle="Ongeldige invoer" operator="between" showDropDown="false" showErrorMessage="false" showInputMessage="false" sqref="C5:C504" type="list">
      <formula1>Keuzelijsten!$H$5:$H$200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E5:E504" type="list">
      <formula1>Keuzelijsten!$I$5:$I$200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L5:L504" type="list">
      <formula1>Keuzelijsten!$Q$5:$Q$200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O5:O504" type="list">
      <formula1>Keuzelijsten!$N$5:$N$200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50"/>
  </cols>
  <sheetData>
    <row r="1" customFormat="false" ht="22.05" hidden="false" customHeight="false" outlineLevel="0" collapsed="false">
      <c r="A1" s="6" t="s">
        <v>12</v>
      </c>
    </row>
    <row r="2" customFormat="false" ht="25.5" hidden="false" customHeight="true" outlineLevel="0" collapsed="false">
      <c r="A2" s="7" t="s">
        <v>290</v>
      </c>
    </row>
    <row r="4" customFormat="false" ht="31.5" hidden="false" customHeight="true" outlineLevel="0" collapsed="false">
      <c r="A4" s="9" t="s">
        <v>291</v>
      </c>
      <c r="B4" s="9" t="s">
        <v>192</v>
      </c>
      <c r="C4" s="9" t="s">
        <v>292</v>
      </c>
      <c r="D4" s="9" t="s">
        <v>293</v>
      </c>
      <c r="E4" s="9" t="s">
        <v>294</v>
      </c>
      <c r="F4" s="9" t="s">
        <v>295</v>
      </c>
      <c r="G4" s="9" t="s">
        <v>296</v>
      </c>
      <c r="H4" s="9" t="s">
        <v>271</v>
      </c>
      <c r="I4" s="9" t="s">
        <v>297</v>
      </c>
      <c r="J4" s="9" t="s">
        <v>298</v>
      </c>
      <c r="K4" s="9" t="s">
        <v>299</v>
      </c>
      <c r="L4" s="9" t="s">
        <v>300</v>
      </c>
      <c r="M4" s="9" t="s">
        <v>301</v>
      </c>
      <c r="N4" s="9" t="s">
        <v>302</v>
      </c>
      <c r="O4" s="9" t="s">
        <v>213</v>
      </c>
    </row>
    <row r="5" customFormat="false" ht="23.85" hidden="false" customHeight="false" outlineLevel="0" collapsed="false">
      <c r="A5" s="10" t="s">
        <v>303</v>
      </c>
      <c r="B5" s="10" t="s">
        <v>215</v>
      </c>
      <c r="C5" s="10" t="s">
        <v>76</v>
      </c>
      <c r="D5" s="10" t="s">
        <v>304</v>
      </c>
      <c r="E5" s="10" t="s">
        <v>262</v>
      </c>
      <c r="F5" s="11" t="s">
        <v>305</v>
      </c>
      <c r="G5" s="10" t="s">
        <v>79</v>
      </c>
      <c r="H5" s="10" t="s">
        <v>110</v>
      </c>
      <c r="I5" s="10" t="s">
        <v>95</v>
      </c>
      <c r="J5" s="10" t="s">
        <v>80</v>
      </c>
      <c r="K5" s="10" t="s">
        <v>80</v>
      </c>
      <c r="L5" s="10"/>
      <c r="M5" s="10" t="s">
        <v>306</v>
      </c>
      <c r="N5" s="10" t="s">
        <v>83</v>
      </c>
      <c r="O5" s="14" t="s">
        <v>307</v>
      </c>
    </row>
    <row r="6" customFormat="false" ht="15" hidden="false" customHeight="false" outlineLevel="0" collapsed="false">
      <c r="A6" s="10" t="s">
        <v>308</v>
      </c>
      <c r="B6" s="10" t="s">
        <v>223</v>
      </c>
      <c r="C6" s="10" t="s">
        <v>136</v>
      </c>
      <c r="D6" s="10" t="s">
        <v>309</v>
      </c>
      <c r="E6" s="10"/>
      <c r="F6" s="11"/>
      <c r="G6" s="10" t="s">
        <v>96</v>
      </c>
      <c r="H6" s="10" t="s">
        <v>77</v>
      </c>
      <c r="I6" s="10" t="s">
        <v>138</v>
      </c>
      <c r="J6" s="10" t="s">
        <v>80</v>
      </c>
      <c r="K6" s="10" t="s">
        <v>97</v>
      </c>
      <c r="L6" s="10"/>
      <c r="M6" s="10" t="s">
        <v>310</v>
      </c>
      <c r="N6" s="10" t="s">
        <v>83</v>
      </c>
      <c r="O6" s="14"/>
    </row>
    <row r="7" customFormat="false" ht="15" hidden="false" customHeight="false" outlineLevel="0" collapsed="false">
      <c r="F7" s="15"/>
    </row>
    <row r="8" customFormat="false" ht="15" hidden="false" customHeight="false" outlineLevel="0" collapsed="false">
      <c r="F8" s="15"/>
    </row>
    <row r="9" customFormat="false" ht="15" hidden="false" customHeight="false" outlineLevel="0" collapsed="false">
      <c r="F9" s="15"/>
    </row>
    <row r="10" customFormat="false" ht="15" hidden="false" customHeight="false" outlineLevel="0" collapsed="false">
      <c r="F10" s="15"/>
    </row>
    <row r="11" customFormat="false" ht="15" hidden="false" customHeight="false" outlineLevel="0" collapsed="false">
      <c r="F11" s="15"/>
    </row>
    <row r="12" customFormat="false" ht="15" hidden="false" customHeight="false" outlineLevel="0" collapsed="false">
      <c r="F12" s="15"/>
    </row>
    <row r="13" customFormat="false" ht="15" hidden="false" customHeight="false" outlineLevel="0" collapsed="false">
      <c r="F13" s="15"/>
    </row>
    <row r="14" customFormat="false" ht="15" hidden="false" customHeight="false" outlineLevel="0" collapsed="false">
      <c r="F14" s="15"/>
    </row>
    <row r="15" customFormat="false" ht="15" hidden="false" customHeight="false" outlineLevel="0" collapsed="false">
      <c r="F15" s="15"/>
    </row>
    <row r="16" customFormat="false" ht="15" hidden="false" customHeight="false" outlineLevel="0" collapsed="false">
      <c r="F16" s="15"/>
    </row>
    <row r="17" customFormat="false" ht="15" hidden="false" customHeight="false" outlineLevel="0" collapsed="false">
      <c r="F17" s="15"/>
    </row>
    <row r="18" customFormat="false" ht="15" hidden="false" customHeight="false" outlineLevel="0" collapsed="false">
      <c r="F18" s="15"/>
    </row>
    <row r="19" customFormat="false" ht="15" hidden="false" customHeight="false" outlineLevel="0" collapsed="false">
      <c r="F19" s="15"/>
    </row>
    <row r="20" customFormat="false" ht="15" hidden="false" customHeight="false" outlineLevel="0" collapsed="false">
      <c r="F20" s="15"/>
    </row>
    <row r="21" customFormat="false" ht="15" hidden="false" customHeight="false" outlineLevel="0" collapsed="false">
      <c r="F21" s="15"/>
    </row>
    <row r="22" customFormat="false" ht="15" hidden="false" customHeight="false" outlineLevel="0" collapsed="false">
      <c r="F22" s="15"/>
    </row>
    <row r="23" customFormat="false" ht="15" hidden="false" customHeight="false" outlineLevel="0" collapsed="false">
      <c r="F23" s="15"/>
    </row>
    <row r="24" customFormat="false" ht="15" hidden="false" customHeight="false" outlineLevel="0" collapsed="false">
      <c r="F24" s="15"/>
    </row>
    <row r="25" customFormat="false" ht="15" hidden="false" customHeight="false" outlineLevel="0" collapsed="false">
      <c r="F25" s="15"/>
    </row>
    <row r="26" customFormat="false" ht="15" hidden="false" customHeight="false" outlineLevel="0" collapsed="false">
      <c r="F26" s="15"/>
    </row>
    <row r="27" customFormat="false" ht="15" hidden="false" customHeight="false" outlineLevel="0" collapsed="false">
      <c r="F27" s="15"/>
    </row>
    <row r="28" customFormat="false" ht="15" hidden="false" customHeight="false" outlineLevel="0" collapsed="false">
      <c r="F28" s="15"/>
    </row>
    <row r="29" customFormat="false" ht="15" hidden="false" customHeight="false" outlineLevel="0" collapsed="false">
      <c r="F29" s="15"/>
    </row>
    <row r="30" customFormat="false" ht="15" hidden="false" customHeight="false" outlineLevel="0" collapsed="false">
      <c r="F30" s="15"/>
    </row>
    <row r="31" customFormat="false" ht="15" hidden="false" customHeight="false" outlineLevel="0" collapsed="false">
      <c r="F31" s="15"/>
    </row>
    <row r="32" customFormat="false" ht="15" hidden="false" customHeight="false" outlineLevel="0" collapsed="false">
      <c r="F32" s="15"/>
    </row>
    <row r="33" customFormat="false" ht="15" hidden="false" customHeight="false" outlineLevel="0" collapsed="false">
      <c r="F33" s="15"/>
    </row>
    <row r="34" customFormat="false" ht="15" hidden="false" customHeight="false" outlineLevel="0" collapsed="false">
      <c r="F34" s="15"/>
    </row>
    <row r="35" customFormat="false" ht="15" hidden="false" customHeight="false" outlineLevel="0" collapsed="false">
      <c r="F35" s="15"/>
    </row>
    <row r="36" customFormat="false" ht="15" hidden="false" customHeight="false" outlineLevel="0" collapsed="false">
      <c r="F36" s="15"/>
    </row>
    <row r="37" customFormat="false" ht="15" hidden="false" customHeight="false" outlineLevel="0" collapsed="false">
      <c r="F37" s="15"/>
    </row>
    <row r="38" customFormat="false" ht="15" hidden="false" customHeight="false" outlineLevel="0" collapsed="false">
      <c r="F38" s="15"/>
    </row>
    <row r="39" customFormat="false" ht="15" hidden="false" customHeight="false" outlineLevel="0" collapsed="false">
      <c r="F39" s="15"/>
    </row>
    <row r="40" customFormat="false" ht="15" hidden="false" customHeight="false" outlineLevel="0" collapsed="false">
      <c r="F40" s="15"/>
    </row>
    <row r="41" customFormat="false" ht="15" hidden="false" customHeight="false" outlineLevel="0" collapsed="false">
      <c r="F41" s="15"/>
    </row>
    <row r="42" customFormat="false" ht="15" hidden="false" customHeight="false" outlineLevel="0" collapsed="false">
      <c r="F42" s="15"/>
    </row>
    <row r="43" customFormat="false" ht="15" hidden="false" customHeight="false" outlineLevel="0" collapsed="false">
      <c r="F43" s="15"/>
    </row>
    <row r="44" customFormat="false" ht="15" hidden="false" customHeight="false" outlineLevel="0" collapsed="false">
      <c r="F44" s="15"/>
    </row>
    <row r="45" customFormat="false" ht="15" hidden="false" customHeight="false" outlineLevel="0" collapsed="false">
      <c r="F45" s="15"/>
    </row>
    <row r="46" customFormat="false" ht="15" hidden="false" customHeight="false" outlineLevel="0" collapsed="false">
      <c r="F46" s="15"/>
    </row>
    <row r="47" customFormat="false" ht="15" hidden="false" customHeight="false" outlineLevel="0" collapsed="false">
      <c r="F47" s="15"/>
    </row>
    <row r="48" customFormat="false" ht="15" hidden="false" customHeight="false" outlineLevel="0" collapsed="false">
      <c r="F48" s="15"/>
    </row>
    <row r="49" customFormat="false" ht="15" hidden="false" customHeight="false" outlineLevel="0" collapsed="false">
      <c r="F49" s="15"/>
    </row>
    <row r="50" customFormat="false" ht="15" hidden="false" customHeight="false" outlineLevel="0" collapsed="false">
      <c r="F50" s="15"/>
    </row>
    <row r="51" customFormat="false" ht="15" hidden="false" customHeight="false" outlineLevel="0" collapsed="false">
      <c r="F51" s="15"/>
    </row>
    <row r="52" customFormat="false" ht="15" hidden="false" customHeight="false" outlineLevel="0" collapsed="false">
      <c r="F52" s="15"/>
    </row>
    <row r="53" customFormat="false" ht="15" hidden="false" customHeight="false" outlineLevel="0" collapsed="false">
      <c r="F53" s="15"/>
    </row>
    <row r="54" customFormat="false" ht="15" hidden="false" customHeight="false" outlineLevel="0" collapsed="false">
      <c r="F54" s="15"/>
    </row>
    <row r="55" customFormat="false" ht="15" hidden="false" customHeight="false" outlineLevel="0" collapsed="false">
      <c r="F55" s="15"/>
    </row>
    <row r="56" customFormat="false" ht="15" hidden="false" customHeight="false" outlineLevel="0" collapsed="false">
      <c r="F56" s="15"/>
    </row>
    <row r="57" customFormat="false" ht="15" hidden="false" customHeight="false" outlineLevel="0" collapsed="false">
      <c r="F57" s="15"/>
    </row>
    <row r="58" customFormat="false" ht="15" hidden="false" customHeight="false" outlineLevel="0" collapsed="false">
      <c r="F58" s="15"/>
    </row>
    <row r="59" customFormat="false" ht="15" hidden="false" customHeight="false" outlineLevel="0" collapsed="false">
      <c r="F59" s="15"/>
    </row>
    <row r="60" customFormat="false" ht="15" hidden="false" customHeight="false" outlineLevel="0" collapsed="false">
      <c r="F60" s="15"/>
    </row>
    <row r="61" customFormat="false" ht="15" hidden="false" customHeight="false" outlineLevel="0" collapsed="false">
      <c r="F61" s="15"/>
    </row>
    <row r="62" customFormat="false" ht="15" hidden="false" customHeight="false" outlineLevel="0" collapsed="false">
      <c r="F62" s="15"/>
    </row>
    <row r="63" customFormat="false" ht="15" hidden="false" customHeight="false" outlineLevel="0" collapsed="false">
      <c r="F63" s="15"/>
    </row>
    <row r="64" customFormat="false" ht="15" hidden="false" customHeight="false" outlineLevel="0" collapsed="false">
      <c r="F64" s="15"/>
    </row>
    <row r="65" customFormat="false" ht="15" hidden="false" customHeight="false" outlineLevel="0" collapsed="false">
      <c r="F65" s="15"/>
    </row>
    <row r="66" customFormat="false" ht="15" hidden="false" customHeight="false" outlineLevel="0" collapsed="false">
      <c r="F66" s="15"/>
    </row>
    <row r="67" customFormat="false" ht="15" hidden="false" customHeight="false" outlineLevel="0" collapsed="false">
      <c r="F67" s="15"/>
    </row>
    <row r="68" customFormat="false" ht="15" hidden="false" customHeight="false" outlineLevel="0" collapsed="false">
      <c r="F68" s="15"/>
    </row>
    <row r="69" customFormat="false" ht="15" hidden="false" customHeight="false" outlineLevel="0" collapsed="false">
      <c r="F69" s="15"/>
    </row>
    <row r="70" customFormat="false" ht="15" hidden="false" customHeight="false" outlineLevel="0" collapsed="false">
      <c r="F70" s="15"/>
    </row>
    <row r="71" customFormat="false" ht="15" hidden="false" customHeight="false" outlineLevel="0" collapsed="false">
      <c r="F71" s="15"/>
    </row>
    <row r="72" customFormat="false" ht="15" hidden="false" customHeight="false" outlineLevel="0" collapsed="false">
      <c r="F72" s="15"/>
    </row>
    <row r="73" customFormat="false" ht="15" hidden="false" customHeight="false" outlineLevel="0" collapsed="false">
      <c r="F73" s="15"/>
    </row>
    <row r="74" customFormat="false" ht="15" hidden="false" customHeight="false" outlineLevel="0" collapsed="false">
      <c r="F74" s="15"/>
    </row>
    <row r="75" customFormat="false" ht="15" hidden="false" customHeight="false" outlineLevel="0" collapsed="false">
      <c r="F75" s="15"/>
    </row>
    <row r="76" customFormat="false" ht="15" hidden="false" customHeight="false" outlineLevel="0" collapsed="false">
      <c r="F76" s="15"/>
    </row>
    <row r="77" customFormat="false" ht="15" hidden="false" customHeight="false" outlineLevel="0" collapsed="false">
      <c r="F77" s="15"/>
    </row>
    <row r="78" customFormat="false" ht="15" hidden="false" customHeight="false" outlineLevel="0" collapsed="false">
      <c r="F78" s="15"/>
    </row>
    <row r="79" customFormat="false" ht="15" hidden="false" customHeight="false" outlineLevel="0" collapsed="false">
      <c r="F79" s="15"/>
    </row>
    <row r="80" customFormat="false" ht="15" hidden="false" customHeight="false" outlineLevel="0" collapsed="false">
      <c r="F80" s="15"/>
    </row>
    <row r="81" customFormat="false" ht="15" hidden="false" customHeight="false" outlineLevel="0" collapsed="false">
      <c r="F81" s="15"/>
    </row>
    <row r="82" customFormat="false" ht="15" hidden="false" customHeight="false" outlineLevel="0" collapsed="false">
      <c r="F82" s="15"/>
    </row>
    <row r="83" customFormat="false" ht="15" hidden="false" customHeight="false" outlineLevel="0" collapsed="false">
      <c r="F83" s="15"/>
    </row>
    <row r="84" customFormat="false" ht="15" hidden="false" customHeight="false" outlineLevel="0" collapsed="false">
      <c r="F84" s="15"/>
    </row>
    <row r="85" customFormat="false" ht="15" hidden="false" customHeight="false" outlineLevel="0" collapsed="false">
      <c r="F85" s="15"/>
    </row>
    <row r="86" customFormat="false" ht="15" hidden="false" customHeight="false" outlineLevel="0" collapsed="false">
      <c r="F86" s="15"/>
    </row>
    <row r="87" customFormat="false" ht="15" hidden="false" customHeight="false" outlineLevel="0" collapsed="false">
      <c r="F87" s="15"/>
    </row>
    <row r="88" customFormat="false" ht="15" hidden="false" customHeight="false" outlineLevel="0" collapsed="false">
      <c r="F88" s="15"/>
    </row>
    <row r="89" customFormat="false" ht="15" hidden="false" customHeight="false" outlineLevel="0" collapsed="false">
      <c r="F89" s="15"/>
    </row>
    <row r="90" customFormat="false" ht="15" hidden="false" customHeight="false" outlineLevel="0" collapsed="false">
      <c r="F90" s="15"/>
    </row>
    <row r="91" customFormat="false" ht="15" hidden="false" customHeight="false" outlineLevel="0" collapsed="false">
      <c r="F91" s="15"/>
    </row>
    <row r="92" customFormat="false" ht="15" hidden="false" customHeight="false" outlineLevel="0" collapsed="false">
      <c r="F92" s="15"/>
    </row>
    <row r="93" customFormat="false" ht="15" hidden="false" customHeight="false" outlineLevel="0" collapsed="false">
      <c r="F93" s="15"/>
    </row>
    <row r="94" customFormat="false" ht="15" hidden="false" customHeight="false" outlineLevel="0" collapsed="false">
      <c r="F94" s="15"/>
    </row>
    <row r="95" customFormat="false" ht="15" hidden="false" customHeight="false" outlineLevel="0" collapsed="false">
      <c r="F95" s="15"/>
    </row>
    <row r="96" customFormat="false" ht="15" hidden="false" customHeight="false" outlineLevel="0" collapsed="false">
      <c r="F96" s="15"/>
    </row>
    <row r="97" customFormat="false" ht="15" hidden="false" customHeight="false" outlineLevel="0" collapsed="false">
      <c r="F97" s="15"/>
    </row>
    <row r="98" customFormat="false" ht="15" hidden="false" customHeight="false" outlineLevel="0" collapsed="false">
      <c r="F98" s="15"/>
    </row>
    <row r="99" customFormat="false" ht="15" hidden="false" customHeight="false" outlineLevel="0" collapsed="false">
      <c r="F99" s="15"/>
    </row>
    <row r="100" customFormat="false" ht="15" hidden="false" customHeight="false" outlineLevel="0" collapsed="false">
      <c r="F100" s="15"/>
    </row>
    <row r="101" customFormat="false" ht="15" hidden="false" customHeight="false" outlineLevel="0" collapsed="false">
      <c r="F101" s="15"/>
    </row>
    <row r="102" customFormat="false" ht="15" hidden="false" customHeight="false" outlineLevel="0" collapsed="false">
      <c r="F102" s="15"/>
    </row>
    <row r="103" customFormat="false" ht="15" hidden="false" customHeight="false" outlineLevel="0" collapsed="false">
      <c r="F103" s="15"/>
    </row>
    <row r="104" customFormat="false" ht="15" hidden="false" customHeight="false" outlineLevel="0" collapsed="false">
      <c r="F104" s="15"/>
    </row>
    <row r="105" customFormat="false" ht="15" hidden="false" customHeight="false" outlineLevel="0" collapsed="false">
      <c r="F105" s="15"/>
    </row>
    <row r="106" customFormat="false" ht="15" hidden="false" customHeight="false" outlineLevel="0" collapsed="false">
      <c r="F106" s="15"/>
    </row>
    <row r="107" customFormat="false" ht="15" hidden="false" customHeight="false" outlineLevel="0" collapsed="false">
      <c r="F107" s="15"/>
    </row>
    <row r="108" customFormat="false" ht="15" hidden="false" customHeight="false" outlineLevel="0" collapsed="false">
      <c r="F108" s="15"/>
    </row>
    <row r="109" customFormat="false" ht="15" hidden="false" customHeight="false" outlineLevel="0" collapsed="false">
      <c r="F109" s="15"/>
    </row>
    <row r="110" customFormat="false" ht="15" hidden="false" customHeight="false" outlineLevel="0" collapsed="false">
      <c r="F110" s="15"/>
    </row>
    <row r="111" customFormat="false" ht="15" hidden="false" customHeight="false" outlineLevel="0" collapsed="false">
      <c r="F111" s="15"/>
    </row>
    <row r="112" customFormat="false" ht="15" hidden="false" customHeight="false" outlineLevel="0" collapsed="false">
      <c r="F112" s="15"/>
    </row>
    <row r="113" customFormat="false" ht="15" hidden="false" customHeight="false" outlineLevel="0" collapsed="false">
      <c r="F113" s="15"/>
    </row>
    <row r="114" customFormat="false" ht="15" hidden="false" customHeight="false" outlineLevel="0" collapsed="false">
      <c r="F114" s="15"/>
    </row>
    <row r="115" customFormat="false" ht="15" hidden="false" customHeight="false" outlineLevel="0" collapsed="false">
      <c r="F115" s="15"/>
    </row>
    <row r="116" customFormat="false" ht="15" hidden="false" customHeight="false" outlineLevel="0" collapsed="false">
      <c r="F116" s="15"/>
    </row>
    <row r="117" customFormat="false" ht="15" hidden="false" customHeight="false" outlineLevel="0" collapsed="false">
      <c r="F117" s="15"/>
    </row>
    <row r="118" customFormat="false" ht="15" hidden="false" customHeight="false" outlineLevel="0" collapsed="false">
      <c r="F118" s="15"/>
    </row>
    <row r="119" customFormat="false" ht="15" hidden="false" customHeight="false" outlineLevel="0" collapsed="false">
      <c r="F119" s="15"/>
    </row>
    <row r="120" customFormat="false" ht="15" hidden="false" customHeight="false" outlineLevel="0" collapsed="false">
      <c r="F120" s="15"/>
    </row>
    <row r="121" customFormat="false" ht="15" hidden="false" customHeight="false" outlineLevel="0" collapsed="false">
      <c r="F121" s="15"/>
    </row>
    <row r="122" customFormat="false" ht="15" hidden="false" customHeight="false" outlineLevel="0" collapsed="false">
      <c r="F122" s="15"/>
    </row>
    <row r="123" customFormat="false" ht="15" hidden="false" customHeight="false" outlineLevel="0" collapsed="false">
      <c r="F123" s="15"/>
    </row>
    <row r="124" customFormat="false" ht="15" hidden="false" customHeight="false" outlineLevel="0" collapsed="false">
      <c r="F124" s="15"/>
    </row>
    <row r="125" customFormat="false" ht="15" hidden="false" customHeight="false" outlineLevel="0" collapsed="false">
      <c r="F125" s="15"/>
    </row>
    <row r="126" customFormat="false" ht="15" hidden="false" customHeight="false" outlineLevel="0" collapsed="false">
      <c r="F126" s="15"/>
    </row>
    <row r="127" customFormat="false" ht="15" hidden="false" customHeight="false" outlineLevel="0" collapsed="false">
      <c r="F127" s="15"/>
    </row>
    <row r="128" customFormat="false" ht="15" hidden="false" customHeight="false" outlineLevel="0" collapsed="false">
      <c r="F128" s="15"/>
    </row>
    <row r="129" customFormat="false" ht="15" hidden="false" customHeight="false" outlineLevel="0" collapsed="false">
      <c r="F129" s="15"/>
    </row>
    <row r="130" customFormat="false" ht="15" hidden="false" customHeight="false" outlineLevel="0" collapsed="false">
      <c r="F130" s="15"/>
    </row>
    <row r="131" customFormat="false" ht="15" hidden="false" customHeight="false" outlineLevel="0" collapsed="false">
      <c r="F131" s="15"/>
    </row>
    <row r="132" customFormat="false" ht="15" hidden="false" customHeight="false" outlineLevel="0" collapsed="false">
      <c r="F132" s="15"/>
    </row>
    <row r="133" customFormat="false" ht="15" hidden="false" customHeight="false" outlineLevel="0" collapsed="false">
      <c r="F133" s="15"/>
    </row>
    <row r="134" customFormat="false" ht="15" hidden="false" customHeight="false" outlineLevel="0" collapsed="false">
      <c r="F134" s="15"/>
    </row>
    <row r="135" customFormat="false" ht="15" hidden="false" customHeight="false" outlineLevel="0" collapsed="false">
      <c r="F135" s="15"/>
    </row>
    <row r="136" customFormat="false" ht="15" hidden="false" customHeight="false" outlineLevel="0" collapsed="false">
      <c r="F136" s="15"/>
    </row>
    <row r="137" customFormat="false" ht="15" hidden="false" customHeight="false" outlineLevel="0" collapsed="false">
      <c r="F137" s="15"/>
    </row>
    <row r="138" customFormat="false" ht="15" hidden="false" customHeight="false" outlineLevel="0" collapsed="false">
      <c r="F138" s="15"/>
    </row>
    <row r="139" customFormat="false" ht="15" hidden="false" customHeight="false" outlineLevel="0" collapsed="false">
      <c r="F139" s="15"/>
    </row>
    <row r="140" customFormat="false" ht="15" hidden="false" customHeight="false" outlineLevel="0" collapsed="false">
      <c r="F140" s="15"/>
    </row>
    <row r="141" customFormat="false" ht="15" hidden="false" customHeight="false" outlineLevel="0" collapsed="false">
      <c r="F141" s="15"/>
    </row>
    <row r="142" customFormat="false" ht="15" hidden="false" customHeight="false" outlineLevel="0" collapsed="false">
      <c r="F142" s="15"/>
    </row>
    <row r="143" customFormat="false" ht="15" hidden="false" customHeight="false" outlineLevel="0" collapsed="false">
      <c r="F143" s="15"/>
    </row>
    <row r="144" customFormat="false" ht="15" hidden="false" customHeight="false" outlineLevel="0" collapsed="false">
      <c r="F144" s="15"/>
    </row>
    <row r="145" customFormat="false" ht="15" hidden="false" customHeight="false" outlineLevel="0" collapsed="false">
      <c r="F145" s="15"/>
    </row>
    <row r="146" customFormat="false" ht="15" hidden="false" customHeight="false" outlineLevel="0" collapsed="false">
      <c r="F146" s="15"/>
    </row>
    <row r="147" customFormat="false" ht="15" hidden="false" customHeight="false" outlineLevel="0" collapsed="false">
      <c r="F147" s="15"/>
    </row>
    <row r="148" customFormat="false" ht="15" hidden="false" customHeight="false" outlineLevel="0" collapsed="false">
      <c r="F148" s="15"/>
    </row>
    <row r="149" customFormat="false" ht="15" hidden="false" customHeight="false" outlineLevel="0" collapsed="false">
      <c r="F149" s="15"/>
    </row>
    <row r="150" customFormat="false" ht="15" hidden="false" customHeight="false" outlineLevel="0" collapsed="false">
      <c r="F150" s="15"/>
    </row>
    <row r="151" customFormat="false" ht="15" hidden="false" customHeight="false" outlineLevel="0" collapsed="false">
      <c r="F151" s="15"/>
    </row>
    <row r="152" customFormat="false" ht="15" hidden="false" customHeight="false" outlineLevel="0" collapsed="false">
      <c r="F152" s="15"/>
    </row>
    <row r="153" customFormat="false" ht="15" hidden="false" customHeight="false" outlineLevel="0" collapsed="false">
      <c r="F153" s="15"/>
    </row>
    <row r="154" customFormat="false" ht="15" hidden="false" customHeight="false" outlineLevel="0" collapsed="false">
      <c r="F154" s="15"/>
    </row>
    <row r="155" customFormat="false" ht="15" hidden="false" customHeight="false" outlineLevel="0" collapsed="false">
      <c r="F155" s="15"/>
    </row>
    <row r="156" customFormat="false" ht="15" hidden="false" customHeight="false" outlineLevel="0" collapsed="false">
      <c r="F156" s="15"/>
    </row>
    <row r="157" customFormat="false" ht="15" hidden="false" customHeight="false" outlineLevel="0" collapsed="false">
      <c r="F157" s="15"/>
    </row>
    <row r="158" customFormat="false" ht="15" hidden="false" customHeight="false" outlineLevel="0" collapsed="false">
      <c r="F158" s="15"/>
    </row>
    <row r="159" customFormat="false" ht="15" hidden="false" customHeight="false" outlineLevel="0" collapsed="false">
      <c r="F159" s="15"/>
    </row>
    <row r="160" customFormat="false" ht="15" hidden="false" customHeight="false" outlineLevel="0" collapsed="false">
      <c r="F160" s="15"/>
    </row>
    <row r="161" customFormat="false" ht="15" hidden="false" customHeight="false" outlineLevel="0" collapsed="false">
      <c r="F161" s="15"/>
    </row>
    <row r="162" customFormat="false" ht="15" hidden="false" customHeight="false" outlineLevel="0" collapsed="false">
      <c r="F162" s="15"/>
    </row>
    <row r="163" customFormat="false" ht="15" hidden="false" customHeight="false" outlineLevel="0" collapsed="false">
      <c r="F163" s="15"/>
    </row>
    <row r="164" customFormat="false" ht="15" hidden="false" customHeight="false" outlineLevel="0" collapsed="false">
      <c r="F164" s="15"/>
    </row>
    <row r="165" customFormat="false" ht="15" hidden="false" customHeight="false" outlineLevel="0" collapsed="false">
      <c r="F165" s="15"/>
    </row>
    <row r="166" customFormat="false" ht="15" hidden="false" customHeight="false" outlineLevel="0" collapsed="false">
      <c r="F166" s="15"/>
    </row>
    <row r="167" customFormat="false" ht="15" hidden="false" customHeight="false" outlineLevel="0" collapsed="false">
      <c r="F167" s="15"/>
    </row>
    <row r="168" customFormat="false" ht="15" hidden="false" customHeight="false" outlineLevel="0" collapsed="false">
      <c r="F168" s="15"/>
    </row>
    <row r="169" customFormat="false" ht="15" hidden="false" customHeight="false" outlineLevel="0" collapsed="false">
      <c r="F169" s="15"/>
    </row>
    <row r="170" customFormat="false" ht="15" hidden="false" customHeight="false" outlineLevel="0" collapsed="false">
      <c r="F170" s="15"/>
    </row>
    <row r="171" customFormat="false" ht="15" hidden="false" customHeight="false" outlineLevel="0" collapsed="false">
      <c r="F171" s="15"/>
    </row>
    <row r="172" customFormat="false" ht="15" hidden="false" customHeight="false" outlineLevel="0" collapsed="false">
      <c r="F172" s="15"/>
    </row>
    <row r="173" customFormat="false" ht="15" hidden="false" customHeight="false" outlineLevel="0" collapsed="false">
      <c r="F173" s="15"/>
    </row>
    <row r="174" customFormat="false" ht="15" hidden="false" customHeight="false" outlineLevel="0" collapsed="false">
      <c r="F174" s="15"/>
    </row>
    <row r="175" customFormat="false" ht="15" hidden="false" customHeight="false" outlineLevel="0" collapsed="false">
      <c r="F175" s="15"/>
    </row>
    <row r="176" customFormat="false" ht="15" hidden="false" customHeight="false" outlineLevel="0" collapsed="false">
      <c r="F176" s="15"/>
    </row>
    <row r="177" customFormat="false" ht="15" hidden="false" customHeight="false" outlineLevel="0" collapsed="false">
      <c r="F177" s="15"/>
    </row>
    <row r="178" customFormat="false" ht="15" hidden="false" customHeight="false" outlineLevel="0" collapsed="false">
      <c r="F178" s="15"/>
    </row>
    <row r="179" customFormat="false" ht="15" hidden="false" customHeight="false" outlineLevel="0" collapsed="false">
      <c r="F179" s="15"/>
    </row>
    <row r="180" customFormat="false" ht="15" hidden="false" customHeight="false" outlineLevel="0" collapsed="false">
      <c r="F180" s="15"/>
    </row>
    <row r="181" customFormat="false" ht="15" hidden="false" customHeight="false" outlineLevel="0" collapsed="false">
      <c r="F181" s="15"/>
    </row>
    <row r="182" customFormat="false" ht="15" hidden="false" customHeight="false" outlineLevel="0" collapsed="false">
      <c r="F182" s="15"/>
    </row>
    <row r="183" customFormat="false" ht="15" hidden="false" customHeight="false" outlineLevel="0" collapsed="false">
      <c r="F183" s="15"/>
    </row>
    <row r="184" customFormat="false" ht="15" hidden="false" customHeight="false" outlineLevel="0" collapsed="false">
      <c r="F184" s="15"/>
    </row>
    <row r="185" customFormat="false" ht="15" hidden="false" customHeight="false" outlineLevel="0" collapsed="false">
      <c r="F185" s="15"/>
    </row>
    <row r="186" customFormat="false" ht="15" hidden="false" customHeight="false" outlineLevel="0" collapsed="false">
      <c r="F186" s="15"/>
    </row>
    <row r="187" customFormat="false" ht="15" hidden="false" customHeight="false" outlineLevel="0" collapsed="false">
      <c r="F187" s="15"/>
    </row>
    <row r="188" customFormat="false" ht="15" hidden="false" customHeight="false" outlineLevel="0" collapsed="false">
      <c r="F188" s="15"/>
    </row>
    <row r="189" customFormat="false" ht="15" hidden="false" customHeight="false" outlineLevel="0" collapsed="false">
      <c r="F189" s="15"/>
    </row>
    <row r="190" customFormat="false" ht="15" hidden="false" customHeight="false" outlineLevel="0" collapsed="false">
      <c r="F190" s="15"/>
    </row>
    <row r="191" customFormat="false" ht="15" hidden="false" customHeight="false" outlineLevel="0" collapsed="false">
      <c r="F191" s="15"/>
    </row>
    <row r="192" customFormat="false" ht="15" hidden="false" customHeight="false" outlineLevel="0" collapsed="false">
      <c r="F192" s="15"/>
    </row>
    <row r="193" customFormat="false" ht="15" hidden="false" customHeight="false" outlineLevel="0" collapsed="false">
      <c r="F193" s="15"/>
    </row>
    <row r="194" customFormat="false" ht="15" hidden="false" customHeight="false" outlineLevel="0" collapsed="false">
      <c r="F194" s="15"/>
    </row>
    <row r="195" customFormat="false" ht="15" hidden="false" customHeight="false" outlineLevel="0" collapsed="false">
      <c r="F195" s="15"/>
    </row>
    <row r="196" customFormat="false" ht="15" hidden="false" customHeight="false" outlineLevel="0" collapsed="false">
      <c r="F196" s="15"/>
    </row>
    <row r="197" customFormat="false" ht="15" hidden="false" customHeight="false" outlineLevel="0" collapsed="false">
      <c r="F197" s="15"/>
    </row>
    <row r="198" customFormat="false" ht="15" hidden="false" customHeight="false" outlineLevel="0" collapsed="false">
      <c r="F198" s="15"/>
    </row>
    <row r="199" customFormat="false" ht="15" hidden="false" customHeight="false" outlineLevel="0" collapsed="false">
      <c r="F199" s="15"/>
    </row>
    <row r="200" customFormat="false" ht="15" hidden="false" customHeight="false" outlineLevel="0" collapsed="false">
      <c r="F200" s="15"/>
    </row>
    <row r="201" customFormat="false" ht="15" hidden="false" customHeight="false" outlineLevel="0" collapsed="false">
      <c r="F201" s="15"/>
    </row>
    <row r="202" customFormat="false" ht="15" hidden="false" customHeight="false" outlineLevel="0" collapsed="false">
      <c r="F202" s="15"/>
    </row>
    <row r="203" customFormat="false" ht="15" hidden="false" customHeight="false" outlineLevel="0" collapsed="false">
      <c r="F203" s="15"/>
    </row>
    <row r="204" customFormat="false" ht="15" hidden="false" customHeight="false" outlineLevel="0" collapsed="false">
      <c r="F204" s="15"/>
    </row>
    <row r="205" customFormat="false" ht="15" hidden="false" customHeight="false" outlineLevel="0" collapsed="false">
      <c r="F205" s="15"/>
    </row>
    <row r="206" customFormat="false" ht="15" hidden="false" customHeight="false" outlineLevel="0" collapsed="false">
      <c r="F206" s="15"/>
    </row>
    <row r="207" customFormat="false" ht="15" hidden="false" customHeight="false" outlineLevel="0" collapsed="false">
      <c r="F207" s="15"/>
    </row>
    <row r="208" customFormat="false" ht="15" hidden="false" customHeight="false" outlineLevel="0" collapsed="false">
      <c r="F208" s="15"/>
    </row>
    <row r="209" customFormat="false" ht="15" hidden="false" customHeight="false" outlineLevel="0" collapsed="false">
      <c r="F209" s="15"/>
    </row>
    <row r="210" customFormat="false" ht="15" hidden="false" customHeight="false" outlineLevel="0" collapsed="false">
      <c r="F210" s="15"/>
    </row>
    <row r="211" customFormat="false" ht="15" hidden="false" customHeight="false" outlineLevel="0" collapsed="false">
      <c r="F211" s="15"/>
    </row>
    <row r="212" customFormat="false" ht="15" hidden="false" customHeight="false" outlineLevel="0" collapsed="false">
      <c r="F212" s="15"/>
    </row>
    <row r="213" customFormat="false" ht="15" hidden="false" customHeight="false" outlineLevel="0" collapsed="false">
      <c r="F213" s="15"/>
    </row>
    <row r="214" customFormat="false" ht="15" hidden="false" customHeight="false" outlineLevel="0" collapsed="false">
      <c r="F214" s="15"/>
    </row>
    <row r="215" customFormat="false" ht="15" hidden="false" customHeight="false" outlineLevel="0" collapsed="false">
      <c r="F215" s="15"/>
    </row>
    <row r="216" customFormat="false" ht="15" hidden="false" customHeight="false" outlineLevel="0" collapsed="false">
      <c r="F216" s="15"/>
    </row>
    <row r="217" customFormat="false" ht="15" hidden="false" customHeight="false" outlineLevel="0" collapsed="false">
      <c r="F217" s="15"/>
    </row>
    <row r="218" customFormat="false" ht="15" hidden="false" customHeight="false" outlineLevel="0" collapsed="false">
      <c r="F218" s="15"/>
    </row>
    <row r="219" customFormat="false" ht="15" hidden="false" customHeight="false" outlineLevel="0" collapsed="false">
      <c r="F219" s="15"/>
    </row>
    <row r="220" customFormat="false" ht="15" hidden="false" customHeight="false" outlineLevel="0" collapsed="false">
      <c r="F220" s="15"/>
    </row>
    <row r="221" customFormat="false" ht="15" hidden="false" customHeight="false" outlineLevel="0" collapsed="false">
      <c r="F221" s="15"/>
    </row>
    <row r="222" customFormat="false" ht="15" hidden="false" customHeight="false" outlineLevel="0" collapsed="false">
      <c r="F222" s="15"/>
    </row>
    <row r="223" customFormat="false" ht="15" hidden="false" customHeight="false" outlineLevel="0" collapsed="false">
      <c r="F223" s="15"/>
    </row>
    <row r="224" customFormat="false" ht="15" hidden="false" customHeight="false" outlineLevel="0" collapsed="false">
      <c r="F224" s="15"/>
    </row>
    <row r="225" customFormat="false" ht="15" hidden="false" customHeight="false" outlineLevel="0" collapsed="false">
      <c r="F225" s="15"/>
    </row>
    <row r="226" customFormat="false" ht="15" hidden="false" customHeight="false" outlineLevel="0" collapsed="false">
      <c r="F226" s="15"/>
    </row>
    <row r="227" customFormat="false" ht="15" hidden="false" customHeight="false" outlineLevel="0" collapsed="false">
      <c r="F227" s="15"/>
    </row>
    <row r="228" customFormat="false" ht="15" hidden="false" customHeight="false" outlineLevel="0" collapsed="false">
      <c r="F228" s="15"/>
    </row>
    <row r="229" customFormat="false" ht="15" hidden="false" customHeight="false" outlineLevel="0" collapsed="false">
      <c r="F229" s="15"/>
    </row>
    <row r="230" customFormat="false" ht="15" hidden="false" customHeight="false" outlineLevel="0" collapsed="false">
      <c r="F230" s="15"/>
    </row>
    <row r="231" customFormat="false" ht="15" hidden="false" customHeight="false" outlineLevel="0" collapsed="false">
      <c r="F231" s="15"/>
    </row>
    <row r="232" customFormat="false" ht="15" hidden="false" customHeight="false" outlineLevel="0" collapsed="false">
      <c r="F232" s="15"/>
    </row>
    <row r="233" customFormat="false" ht="15" hidden="false" customHeight="false" outlineLevel="0" collapsed="false">
      <c r="F233" s="15"/>
    </row>
    <row r="234" customFormat="false" ht="15" hidden="false" customHeight="false" outlineLevel="0" collapsed="false">
      <c r="F234" s="15"/>
    </row>
    <row r="235" customFormat="false" ht="15" hidden="false" customHeight="false" outlineLevel="0" collapsed="false">
      <c r="F235" s="15"/>
    </row>
    <row r="236" customFormat="false" ht="15" hidden="false" customHeight="false" outlineLevel="0" collapsed="false">
      <c r="F236" s="15"/>
    </row>
    <row r="237" customFormat="false" ht="15" hidden="false" customHeight="false" outlineLevel="0" collapsed="false">
      <c r="F237" s="15"/>
    </row>
    <row r="238" customFormat="false" ht="15" hidden="false" customHeight="false" outlineLevel="0" collapsed="false">
      <c r="F238" s="15"/>
    </row>
    <row r="239" customFormat="false" ht="15" hidden="false" customHeight="false" outlineLevel="0" collapsed="false">
      <c r="F239" s="15"/>
    </row>
    <row r="240" customFormat="false" ht="15" hidden="false" customHeight="false" outlineLevel="0" collapsed="false">
      <c r="F240" s="15"/>
    </row>
    <row r="241" customFormat="false" ht="15" hidden="false" customHeight="false" outlineLevel="0" collapsed="false">
      <c r="F241" s="15"/>
    </row>
    <row r="242" customFormat="false" ht="15" hidden="false" customHeight="false" outlineLevel="0" collapsed="false">
      <c r="F242" s="15"/>
    </row>
    <row r="243" customFormat="false" ht="15" hidden="false" customHeight="false" outlineLevel="0" collapsed="false">
      <c r="F243" s="15"/>
    </row>
    <row r="244" customFormat="false" ht="15" hidden="false" customHeight="false" outlineLevel="0" collapsed="false">
      <c r="F244" s="15"/>
    </row>
    <row r="245" customFormat="false" ht="15" hidden="false" customHeight="false" outlineLevel="0" collapsed="false">
      <c r="F245" s="15"/>
    </row>
    <row r="246" customFormat="false" ht="15" hidden="false" customHeight="false" outlineLevel="0" collapsed="false">
      <c r="F246" s="15"/>
    </row>
    <row r="247" customFormat="false" ht="15" hidden="false" customHeight="false" outlineLevel="0" collapsed="false">
      <c r="F247" s="15"/>
    </row>
    <row r="248" customFormat="false" ht="15" hidden="false" customHeight="false" outlineLevel="0" collapsed="false">
      <c r="F248" s="15"/>
    </row>
    <row r="249" customFormat="false" ht="15" hidden="false" customHeight="false" outlineLevel="0" collapsed="false">
      <c r="F249" s="15"/>
    </row>
    <row r="250" customFormat="false" ht="15" hidden="false" customHeight="false" outlineLevel="0" collapsed="false">
      <c r="F250" s="15"/>
    </row>
    <row r="251" customFormat="false" ht="15" hidden="false" customHeight="false" outlineLevel="0" collapsed="false">
      <c r="F251" s="15"/>
    </row>
    <row r="252" customFormat="false" ht="15" hidden="false" customHeight="false" outlineLevel="0" collapsed="false">
      <c r="F252" s="15"/>
    </row>
    <row r="253" customFormat="false" ht="15" hidden="false" customHeight="false" outlineLevel="0" collapsed="false">
      <c r="F253" s="15"/>
    </row>
    <row r="254" customFormat="false" ht="15" hidden="false" customHeight="false" outlineLevel="0" collapsed="false">
      <c r="F254" s="15"/>
    </row>
    <row r="255" customFormat="false" ht="15" hidden="false" customHeight="false" outlineLevel="0" collapsed="false">
      <c r="F255" s="15"/>
    </row>
    <row r="256" customFormat="false" ht="15" hidden="false" customHeight="false" outlineLevel="0" collapsed="false">
      <c r="F256" s="15"/>
    </row>
    <row r="257" customFormat="false" ht="15" hidden="false" customHeight="false" outlineLevel="0" collapsed="false">
      <c r="F257" s="15"/>
    </row>
    <row r="258" customFormat="false" ht="15" hidden="false" customHeight="false" outlineLevel="0" collapsed="false">
      <c r="F258" s="15"/>
    </row>
    <row r="259" customFormat="false" ht="15" hidden="false" customHeight="false" outlineLevel="0" collapsed="false">
      <c r="F259" s="15"/>
    </row>
    <row r="260" customFormat="false" ht="15" hidden="false" customHeight="false" outlineLevel="0" collapsed="false">
      <c r="F260" s="15"/>
    </row>
    <row r="261" customFormat="false" ht="15" hidden="false" customHeight="false" outlineLevel="0" collapsed="false">
      <c r="F261" s="15"/>
    </row>
    <row r="262" customFormat="false" ht="15" hidden="false" customHeight="false" outlineLevel="0" collapsed="false">
      <c r="F262" s="15"/>
    </row>
    <row r="263" customFormat="false" ht="15" hidden="false" customHeight="false" outlineLevel="0" collapsed="false">
      <c r="F263" s="15"/>
    </row>
    <row r="264" customFormat="false" ht="15" hidden="false" customHeight="false" outlineLevel="0" collapsed="false">
      <c r="F264" s="15"/>
    </row>
    <row r="265" customFormat="false" ht="15" hidden="false" customHeight="false" outlineLevel="0" collapsed="false">
      <c r="F265" s="15"/>
    </row>
    <row r="266" customFormat="false" ht="15" hidden="false" customHeight="false" outlineLevel="0" collapsed="false">
      <c r="F266" s="15"/>
    </row>
    <row r="267" customFormat="false" ht="15" hidden="false" customHeight="false" outlineLevel="0" collapsed="false">
      <c r="F267" s="15"/>
    </row>
    <row r="268" customFormat="false" ht="15" hidden="false" customHeight="false" outlineLevel="0" collapsed="false">
      <c r="F268" s="15"/>
    </row>
    <row r="269" customFormat="false" ht="15" hidden="false" customHeight="false" outlineLevel="0" collapsed="false">
      <c r="F269" s="15"/>
    </row>
    <row r="270" customFormat="false" ht="15" hidden="false" customHeight="false" outlineLevel="0" collapsed="false">
      <c r="F270" s="15"/>
    </row>
    <row r="271" customFormat="false" ht="15" hidden="false" customHeight="false" outlineLevel="0" collapsed="false">
      <c r="F271" s="15"/>
    </row>
    <row r="272" customFormat="false" ht="15" hidden="false" customHeight="false" outlineLevel="0" collapsed="false">
      <c r="F272" s="15"/>
    </row>
    <row r="273" customFormat="false" ht="15" hidden="false" customHeight="false" outlineLevel="0" collapsed="false">
      <c r="F273" s="15"/>
    </row>
    <row r="274" customFormat="false" ht="15" hidden="false" customHeight="false" outlineLevel="0" collapsed="false">
      <c r="F274" s="15"/>
    </row>
    <row r="275" customFormat="false" ht="15" hidden="false" customHeight="false" outlineLevel="0" collapsed="false">
      <c r="F275" s="15"/>
    </row>
    <row r="276" customFormat="false" ht="15" hidden="false" customHeight="false" outlineLevel="0" collapsed="false">
      <c r="F276" s="15"/>
    </row>
    <row r="277" customFormat="false" ht="15" hidden="false" customHeight="false" outlineLevel="0" collapsed="false">
      <c r="F277" s="15"/>
    </row>
    <row r="278" customFormat="false" ht="15" hidden="false" customHeight="false" outlineLevel="0" collapsed="false">
      <c r="F278" s="15"/>
    </row>
    <row r="279" customFormat="false" ht="15" hidden="false" customHeight="false" outlineLevel="0" collapsed="false">
      <c r="F279" s="15"/>
    </row>
    <row r="280" customFormat="false" ht="15" hidden="false" customHeight="false" outlineLevel="0" collapsed="false">
      <c r="F280" s="15"/>
    </row>
    <row r="281" customFormat="false" ht="15" hidden="false" customHeight="false" outlineLevel="0" collapsed="false">
      <c r="F281" s="15"/>
    </row>
    <row r="282" customFormat="false" ht="15" hidden="false" customHeight="false" outlineLevel="0" collapsed="false">
      <c r="F282" s="15"/>
    </row>
    <row r="283" customFormat="false" ht="15" hidden="false" customHeight="false" outlineLevel="0" collapsed="false">
      <c r="F283" s="15"/>
    </row>
    <row r="284" customFormat="false" ht="15" hidden="false" customHeight="false" outlineLevel="0" collapsed="false">
      <c r="F284" s="15"/>
    </row>
    <row r="285" customFormat="false" ht="15" hidden="false" customHeight="false" outlineLevel="0" collapsed="false">
      <c r="F285" s="15"/>
    </row>
    <row r="286" customFormat="false" ht="15" hidden="false" customHeight="false" outlineLevel="0" collapsed="false">
      <c r="F286" s="15"/>
    </row>
    <row r="287" customFormat="false" ht="15" hidden="false" customHeight="false" outlineLevel="0" collapsed="false">
      <c r="F287" s="15"/>
    </row>
    <row r="288" customFormat="false" ht="15" hidden="false" customHeight="false" outlineLevel="0" collapsed="false">
      <c r="F288" s="15"/>
    </row>
    <row r="289" customFormat="false" ht="15" hidden="false" customHeight="false" outlineLevel="0" collapsed="false">
      <c r="F289" s="15"/>
    </row>
    <row r="290" customFormat="false" ht="15" hidden="false" customHeight="false" outlineLevel="0" collapsed="false">
      <c r="F290" s="15"/>
    </row>
    <row r="291" customFormat="false" ht="15" hidden="false" customHeight="false" outlineLevel="0" collapsed="false">
      <c r="F291" s="15"/>
    </row>
    <row r="292" customFormat="false" ht="15" hidden="false" customHeight="false" outlineLevel="0" collapsed="false">
      <c r="F292" s="15"/>
    </row>
    <row r="293" customFormat="false" ht="15" hidden="false" customHeight="false" outlineLevel="0" collapsed="false">
      <c r="F293" s="15"/>
    </row>
    <row r="294" customFormat="false" ht="15" hidden="false" customHeight="false" outlineLevel="0" collapsed="false">
      <c r="F294" s="15"/>
    </row>
    <row r="295" customFormat="false" ht="15" hidden="false" customHeight="false" outlineLevel="0" collapsed="false">
      <c r="F295" s="15"/>
    </row>
    <row r="296" customFormat="false" ht="15" hidden="false" customHeight="false" outlineLevel="0" collapsed="false">
      <c r="F296" s="15"/>
    </row>
    <row r="297" customFormat="false" ht="15" hidden="false" customHeight="false" outlineLevel="0" collapsed="false">
      <c r="F297" s="15"/>
    </row>
    <row r="298" customFormat="false" ht="15" hidden="false" customHeight="false" outlineLevel="0" collapsed="false">
      <c r="F298" s="15"/>
    </row>
    <row r="299" customFormat="false" ht="15" hidden="false" customHeight="false" outlineLevel="0" collapsed="false">
      <c r="F299" s="15"/>
    </row>
    <row r="300" customFormat="false" ht="15" hidden="false" customHeight="false" outlineLevel="0" collapsed="false">
      <c r="F300" s="15"/>
    </row>
    <row r="301" customFormat="false" ht="15" hidden="false" customHeight="false" outlineLevel="0" collapsed="false">
      <c r="F301" s="15"/>
    </row>
    <row r="302" customFormat="false" ht="15" hidden="false" customHeight="false" outlineLevel="0" collapsed="false">
      <c r="F302" s="15"/>
    </row>
    <row r="303" customFormat="false" ht="15" hidden="false" customHeight="false" outlineLevel="0" collapsed="false">
      <c r="F303" s="15"/>
    </row>
    <row r="304" customFormat="false" ht="15" hidden="false" customHeight="false" outlineLevel="0" collapsed="false">
      <c r="F304" s="15"/>
    </row>
    <row r="305" customFormat="false" ht="15" hidden="false" customHeight="false" outlineLevel="0" collapsed="false">
      <c r="F305" s="15"/>
    </row>
    <row r="306" customFormat="false" ht="15" hidden="false" customHeight="false" outlineLevel="0" collapsed="false">
      <c r="F306" s="15"/>
    </row>
    <row r="307" customFormat="false" ht="15" hidden="false" customHeight="false" outlineLevel="0" collapsed="false">
      <c r="F307" s="15"/>
    </row>
    <row r="308" customFormat="false" ht="15" hidden="false" customHeight="false" outlineLevel="0" collapsed="false">
      <c r="F308" s="15"/>
    </row>
    <row r="309" customFormat="false" ht="15" hidden="false" customHeight="false" outlineLevel="0" collapsed="false">
      <c r="F309" s="15"/>
    </row>
    <row r="310" customFormat="false" ht="15" hidden="false" customHeight="false" outlineLevel="0" collapsed="false">
      <c r="F310" s="15"/>
    </row>
    <row r="311" customFormat="false" ht="15" hidden="false" customHeight="false" outlineLevel="0" collapsed="false">
      <c r="F311" s="15"/>
    </row>
    <row r="312" customFormat="false" ht="15" hidden="false" customHeight="false" outlineLevel="0" collapsed="false">
      <c r="F312" s="15"/>
    </row>
    <row r="313" customFormat="false" ht="15" hidden="false" customHeight="false" outlineLevel="0" collapsed="false">
      <c r="F313" s="15"/>
    </row>
    <row r="314" customFormat="false" ht="15" hidden="false" customHeight="false" outlineLevel="0" collapsed="false">
      <c r="F314" s="15"/>
    </row>
    <row r="315" customFormat="false" ht="15" hidden="false" customHeight="false" outlineLevel="0" collapsed="false">
      <c r="F315" s="15"/>
    </row>
    <row r="316" customFormat="false" ht="15" hidden="false" customHeight="false" outlineLevel="0" collapsed="false">
      <c r="F316" s="15"/>
    </row>
    <row r="317" customFormat="false" ht="15" hidden="false" customHeight="false" outlineLevel="0" collapsed="false">
      <c r="F317" s="15"/>
    </row>
    <row r="318" customFormat="false" ht="15" hidden="false" customHeight="false" outlineLevel="0" collapsed="false">
      <c r="F318" s="15"/>
    </row>
    <row r="319" customFormat="false" ht="15" hidden="false" customHeight="false" outlineLevel="0" collapsed="false">
      <c r="F319" s="15"/>
    </row>
    <row r="320" customFormat="false" ht="15" hidden="false" customHeight="false" outlineLevel="0" collapsed="false">
      <c r="F320" s="15"/>
    </row>
    <row r="321" customFormat="false" ht="15" hidden="false" customHeight="false" outlineLevel="0" collapsed="false">
      <c r="F321" s="15"/>
    </row>
    <row r="322" customFormat="false" ht="15" hidden="false" customHeight="false" outlineLevel="0" collapsed="false">
      <c r="F322" s="15"/>
    </row>
    <row r="323" customFormat="false" ht="15" hidden="false" customHeight="false" outlineLevel="0" collapsed="false">
      <c r="F323" s="15"/>
    </row>
    <row r="324" customFormat="false" ht="15" hidden="false" customHeight="false" outlineLevel="0" collapsed="false">
      <c r="F324" s="15"/>
    </row>
    <row r="325" customFormat="false" ht="15" hidden="false" customHeight="false" outlineLevel="0" collapsed="false">
      <c r="F325" s="15"/>
    </row>
    <row r="326" customFormat="false" ht="15" hidden="false" customHeight="false" outlineLevel="0" collapsed="false">
      <c r="F326" s="15"/>
    </row>
    <row r="327" customFormat="false" ht="15" hidden="false" customHeight="false" outlineLevel="0" collapsed="false">
      <c r="F327" s="15"/>
    </row>
    <row r="328" customFormat="false" ht="15" hidden="false" customHeight="false" outlineLevel="0" collapsed="false">
      <c r="F328" s="15"/>
    </row>
    <row r="329" customFormat="false" ht="15" hidden="false" customHeight="false" outlineLevel="0" collapsed="false">
      <c r="F329" s="15"/>
    </row>
    <row r="330" customFormat="false" ht="15" hidden="false" customHeight="false" outlineLevel="0" collapsed="false">
      <c r="F330" s="15"/>
    </row>
    <row r="331" customFormat="false" ht="15" hidden="false" customHeight="false" outlineLevel="0" collapsed="false">
      <c r="F331" s="15"/>
    </row>
    <row r="332" customFormat="false" ht="15" hidden="false" customHeight="false" outlineLevel="0" collapsed="false">
      <c r="F332" s="15"/>
    </row>
    <row r="333" customFormat="false" ht="15" hidden="false" customHeight="false" outlineLevel="0" collapsed="false">
      <c r="F333" s="15"/>
    </row>
    <row r="334" customFormat="false" ht="15" hidden="false" customHeight="false" outlineLevel="0" collapsed="false">
      <c r="F334" s="15"/>
    </row>
    <row r="335" customFormat="false" ht="15" hidden="false" customHeight="false" outlineLevel="0" collapsed="false">
      <c r="F335" s="15"/>
    </row>
    <row r="336" customFormat="false" ht="15" hidden="false" customHeight="false" outlineLevel="0" collapsed="false">
      <c r="F336" s="15"/>
    </row>
    <row r="337" customFormat="false" ht="15" hidden="false" customHeight="false" outlineLevel="0" collapsed="false">
      <c r="F337" s="15"/>
    </row>
    <row r="338" customFormat="false" ht="15" hidden="false" customHeight="false" outlineLevel="0" collapsed="false">
      <c r="F338" s="15"/>
    </row>
    <row r="339" customFormat="false" ht="15" hidden="false" customHeight="false" outlineLevel="0" collapsed="false">
      <c r="F339" s="15"/>
    </row>
    <row r="340" customFormat="false" ht="15" hidden="false" customHeight="false" outlineLevel="0" collapsed="false">
      <c r="F340" s="15"/>
    </row>
    <row r="341" customFormat="false" ht="15" hidden="false" customHeight="false" outlineLevel="0" collapsed="false">
      <c r="F341" s="15"/>
    </row>
    <row r="342" customFormat="false" ht="15" hidden="false" customHeight="false" outlineLevel="0" collapsed="false">
      <c r="F342" s="15"/>
    </row>
    <row r="343" customFormat="false" ht="15" hidden="false" customHeight="false" outlineLevel="0" collapsed="false">
      <c r="F343" s="15"/>
    </row>
    <row r="344" customFormat="false" ht="15" hidden="false" customHeight="false" outlineLevel="0" collapsed="false">
      <c r="F344" s="15"/>
    </row>
    <row r="345" customFormat="false" ht="15" hidden="false" customHeight="false" outlineLevel="0" collapsed="false">
      <c r="F345" s="15"/>
    </row>
    <row r="346" customFormat="false" ht="15" hidden="false" customHeight="false" outlineLevel="0" collapsed="false">
      <c r="F346" s="15"/>
    </row>
    <row r="347" customFormat="false" ht="15" hidden="false" customHeight="false" outlineLevel="0" collapsed="false">
      <c r="F347" s="15"/>
    </row>
    <row r="348" customFormat="false" ht="15" hidden="false" customHeight="false" outlineLevel="0" collapsed="false">
      <c r="F348" s="15"/>
    </row>
    <row r="349" customFormat="false" ht="15" hidden="false" customHeight="false" outlineLevel="0" collapsed="false">
      <c r="F349" s="15"/>
    </row>
    <row r="350" customFormat="false" ht="15" hidden="false" customHeight="false" outlineLevel="0" collapsed="false">
      <c r="F350" s="15"/>
    </row>
    <row r="351" customFormat="false" ht="15" hidden="false" customHeight="false" outlineLevel="0" collapsed="false">
      <c r="F351" s="15"/>
    </row>
    <row r="352" customFormat="false" ht="15" hidden="false" customHeight="false" outlineLevel="0" collapsed="false">
      <c r="F352" s="15"/>
    </row>
    <row r="353" customFormat="false" ht="15" hidden="false" customHeight="false" outlineLevel="0" collapsed="false">
      <c r="F353" s="15"/>
    </row>
    <row r="354" customFormat="false" ht="15" hidden="false" customHeight="false" outlineLevel="0" collapsed="false">
      <c r="F354" s="15"/>
    </row>
    <row r="355" customFormat="false" ht="15" hidden="false" customHeight="false" outlineLevel="0" collapsed="false">
      <c r="F355" s="15"/>
    </row>
    <row r="356" customFormat="false" ht="15" hidden="false" customHeight="false" outlineLevel="0" collapsed="false">
      <c r="F356" s="15"/>
    </row>
    <row r="357" customFormat="false" ht="15" hidden="false" customHeight="false" outlineLevel="0" collapsed="false">
      <c r="F357" s="15"/>
    </row>
    <row r="358" customFormat="false" ht="15" hidden="false" customHeight="false" outlineLevel="0" collapsed="false">
      <c r="F358" s="15"/>
    </row>
    <row r="359" customFormat="false" ht="15" hidden="false" customHeight="false" outlineLevel="0" collapsed="false">
      <c r="F359" s="15"/>
    </row>
    <row r="360" customFormat="false" ht="15" hidden="false" customHeight="false" outlineLevel="0" collapsed="false">
      <c r="F360" s="15"/>
    </row>
    <row r="361" customFormat="false" ht="15" hidden="false" customHeight="false" outlineLevel="0" collapsed="false">
      <c r="F361" s="15"/>
    </row>
    <row r="362" customFormat="false" ht="15" hidden="false" customHeight="false" outlineLevel="0" collapsed="false">
      <c r="F362" s="15"/>
    </row>
    <row r="363" customFormat="false" ht="15" hidden="false" customHeight="false" outlineLevel="0" collapsed="false">
      <c r="F363" s="15"/>
    </row>
    <row r="364" customFormat="false" ht="15" hidden="false" customHeight="false" outlineLevel="0" collapsed="false">
      <c r="F364" s="15"/>
    </row>
    <row r="365" customFormat="false" ht="15" hidden="false" customHeight="false" outlineLevel="0" collapsed="false">
      <c r="F365" s="15"/>
    </row>
    <row r="366" customFormat="false" ht="15" hidden="false" customHeight="false" outlineLevel="0" collapsed="false">
      <c r="F366" s="15"/>
    </row>
    <row r="367" customFormat="false" ht="15" hidden="false" customHeight="false" outlineLevel="0" collapsed="false">
      <c r="F367" s="15"/>
    </row>
    <row r="368" customFormat="false" ht="15" hidden="false" customHeight="false" outlineLevel="0" collapsed="false">
      <c r="F368" s="15"/>
    </row>
    <row r="369" customFormat="false" ht="15" hidden="false" customHeight="false" outlineLevel="0" collapsed="false">
      <c r="F369" s="15"/>
    </row>
    <row r="370" customFormat="false" ht="15" hidden="false" customHeight="false" outlineLevel="0" collapsed="false">
      <c r="F370" s="15"/>
    </row>
    <row r="371" customFormat="false" ht="15" hidden="false" customHeight="false" outlineLevel="0" collapsed="false">
      <c r="F371" s="15"/>
    </row>
    <row r="372" customFormat="false" ht="15" hidden="false" customHeight="false" outlineLevel="0" collapsed="false">
      <c r="F372" s="15"/>
    </row>
    <row r="373" customFormat="false" ht="15" hidden="false" customHeight="false" outlineLevel="0" collapsed="false">
      <c r="F373" s="15"/>
    </row>
    <row r="374" customFormat="false" ht="15" hidden="false" customHeight="false" outlineLevel="0" collapsed="false">
      <c r="F374" s="15"/>
    </row>
    <row r="375" customFormat="false" ht="15" hidden="false" customHeight="false" outlineLevel="0" collapsed="false">
      <c r="F375" s="15"/>
    </row>
    <row r="376" customFormat="false" ht="15" hidden="false" customHeight="false" outlineLevel="0" collapsed="false">
      <c r="F376" s="15"/>
    </row>
    <row r="377" customFormat="false" ht="15" hidden="false" customHeight="false" outlineLevel="0" collapsed="false">
      <c r="F377" s="15"/>
    </row>
    <row r="378" customFormat="false" ht="15" hidden="false" customHeight="false" outlineLevel="0" collapsed="false">
      <c r="F378" s="15"/>
    </row>
    <row r="379" customFormat="false" ht="15" hidden="false" customHeight="false" outlineLevel="0" collapsed="false">
      <c r="F379" s="15"/>
    </row>
    <row r="380" customFormat="false" ht="15" hidden="false" customHeight="false" outlineLevel="0" collapsed="false">
      <c r="F380" s="15"/>
    </row>
    <row r="381" customFormat="false" ht="15" hidden="false" customHeight="false" outlineLevel="0" collapsed="false">
      <c r="F381" s="15"/>
    </row>
    <row r="382" customFormat="false" ht="15" hidden="false" customHeight="false" outlineLevel="0" collapsed="false">
      <c r="F382" s="15"/>
    </row>
    <row r="383" customFormat="false" ht="15" hidden="false" customHeight="false" outlineLevel="0" collapsed="false">
      <c r="F383" s="15"/>
    </row>
    <row r="384" customFormat="false" ht="15" hidden="false" customHeight="false" outlineLevel="0" collapsed="false">
      <c r="F384" s="15"/>
    </row>
    <row r="385" customFormat="false" ht="15" hidden="false" customHeight="false" outlineLevel="0" collapsed="false">
      <c r="F385" s="15"/>
    </row>
    <row r="386" customFormat="false" ht="15" hidden="false" customHeight="false" outlineLevel="0" collapsed="false">
      <c r="F386" s="15"/>
    </row>
    <row r="387" customFormat="false" ht="15" hidden="false" customHeight="false" outlineLevel="0" collapsed="false">
      <c r="F387" s="15"/>
    </row>
    <row r="388" customFormat="false" ht="15" hidden="false" customHeight="false" outlineLevel="0" collapsed="false">
      <c r="F388" s="15"/>
    </row>
    <row r="389" customFormat="false" ht="15" hidden="false" customHeight="false" outlineLevel="0" collapsed="false">
      <c r="F389" s="15"/>
    </row>
    <row r="390" customFormat="false" ht="15" hidden="false" customHeight="false" outlineLevel="0" collapsed="false">
      <c r="F390" s="15"/>
    </row>
    <row r="391" customFormat="false" ht="15" hidden="false" customHeight="false" outlineLevel="0" collapsed="false">
      <c r="F391" s="15"/>
    </row>
    <row r="392" customFormat="false" ht="15" hidden="false" customHeight="false" outlineLevel="0" collapsed="false">
      <c r="F392" s="15"/>
    </row>
    <row r="393" customFormat="false" ht="15" hidden="false" customHeight="false" outlineLevel="0" collapsed="false">
      <c r="F393" s="15"/>
    </row>
    <row r="394" customFormat="false" ht="15" hidden="false" customHeight="false" outlineLevel="0" collapsed="false">
      <c r="F394" s="15"/>
    </row>
    <row r="395" customFormat="false" ht="15" hidden="false" customHeight="false" outlineLevel="0" collapsed="false">
      <c r="F395" s="15"/>
    </row>
    <row r="396" customFormat="false" ht="15" hidden="false" customHeight="false" outlineLevel="0" collapsed="false">
      <c r="F396" s="15"/>
    </row>
    <row r="397" customFormat="false" ht="15" hidden="false" customHeight="false" outlineLevel="0" collapsed="false">
      <c r="F397" s="15"/>
    </row>
    <row r="398" customFormat="false" ht="15" hidden="false" customHeight="false" outlineLevel="0" collapsed="false">
      <c r="F398" s="15"/>
    </row>
    <row r="399" customFormat="false" ht="15" hidden="false" customHeight="false" outlineLevel="0" collapsed="false">
      <c r="F399" s="15"/>
    </row>
    <row r="400" customFormat="false" ht="15" hidden="false" customHeight="false" outlineLevel="0" collapsed="false">
      <c r="F400" s="15"/>
    </row>
    <row r="401" customFormat="false" ht="15" hidden="false" customHeight="false" outlineLevel="0" collapsed="false">
      <c r="F401" s="15"/>
    </row>
    <row r="402" customFormat="false" ht="15" hidden="false" customHeight="false" outlineLevel="0" collapsed="false">
      <c r="F402" s="15"/>
    </row>
    <row r="403" customFormat="false" ht="15" hidden="false" customHeight="false" outlineLevel="0" collapsed="false">
      <c r="F403" s="15"/>
    </row>
    <row r="404" customFormat="false" ht="15" hidden="false" customHeight="false" outlineLevel="0" collapsed="false">
      <c r="F404" s="15"/>
    </row>
    <row r="405" customFormat="false" ht="15" hidden="false" customHeight="false" outlineLevel="0" collapsed="false">
      <c r="F405" s="15"/>
    </row>
    <row r="406" customFormat="false" ht="15" hidden="false" customHeight="false" outlineLevel="0" collapsed="false">
      <c r="F406" s="15"/>
    </row>
    <row r="407" customFormat="false" ht="15" hidden="false" customHeight="false" outlineLevel="0" collapsed="false">
      <c r="F407" s="15"/>
    </row>
    <row r="408" customFormat="false" ht="15" hidden="false" customHeight="false" outlineLevel="0" collapsed="false">
      <c r="F408" s="15"/>
    </row>
    <row r="409" customFormat="false" ht="15" hidden="false" customHeight="false" outlineLevel="0" collapsed="false">
      <c r="F409" s="15"/>
    </row>
    <row r="410" customFormat="false" ht="15" hidden="false" customHeight="false" outlineLevel="0" collapsed="false">
      <c r="F410" s="15"/>
    </row>
    <row r="411" customFormat="false" ht="15" hidden="false" customHeight="false" outlineLevel="0" collapsed="false">
      <c r="F411" s="15"/>
    </row>
    <row r="412" customFormat="false" ht="15" hidden="false" customHeight="false" outlineLevel="0" collapsed="false">
      <c r="F412" s="15"/>
    </row>
    <row r="413" customFormat="false" ht="15" hidden="false" customHeight="false" outlineLevel="0" collapsed="false">
      <c r="F413" s="15"/>
    </row>
    <row r="414" customFormat="false" ht="15" hidden="false" customHeight="false" outlineLevel="0" collapsed="false">
      <c r="F414" s="15"/>
    </row>
    <row r="415" customFormat="false" ht="15" hidden="false" customHeight="false" outlineLevel="0" collapsed="false">
      <c r="F415" s="15"/>
    </row>
    <row r="416" customFormat="false" ht="15" hidden="false" customHeight="false" outlineLevel="0" collapsed="false">
      <c r="F416" s="15"/>
    </row>
    <row r="417" customFormat="false" ht="15" hidden="false" customHeight="false" outlineLevel="0" collapsed="false">
      <c r="F417" s="15"/>
    </row>
    <row r="418" customFormat="false" ht="15" hidden="false" customHeight="false" outlineLevel="0" collapsed="false">
      <c r="F418" s="15"/>
    </row>
    <row r="419" customFormat="false" ht="15" hidden="false" customHeight="false" outlineLevel="0" collapsed="false">
      <c r="F419" s="15"/>
    </row>
    <row r="420" customFormat="false" ht="15" hidden="false" customHeight="false" outlineLevel="0" collapsed="false">
      <c r="F420" s="15"/>
    </row>
    <row r="421" customFormat="false" ht="15" hidden="false" customHeight="false" outlineLevel="0" collapsed="false">
      <c r="F421" s="15"/>
    </row>
    <row r="422" customFormat="false" ht="15" hidden="false" customHeight="false" outlineLevel="0" collapsed="false">
      <c r="F422" s="15"/>
    </row>
    <row r="423" customFormat="false" ht="15" hidden="false" customHeight="false" outlineLevel="0" collapsed="false">
      <c r="F423" s="15"/>
    </row>
    <row r="424" customFormat="false" ht="15" hidden="false" customHeight="false" outlineLevel="0" collapsed="false">
      <c r="F424" s="15"/>
    </row>
    <row r="425" customFormat="false" ht="15" hidden="false" customHeight="false" outlineLevel="0" collapsed="false">
      <c r="F425" s="15"/>
    </row>
    <row r="426" customFormat="false" ht="15" hidden="false" customHeight="false" outlineLevel="0" collapsed="false">
      <c r="F426" s="15"/>
    </row>
    <row r="427" customFormat="false" ht="15" hidden="false" customHeight="false" outlineLevel="0" collapsed="false">
      <c r="F427" s="15"/>
    </row>
    <row r="428" customFormat="false" ht="15" hidden="false" customHeight="false" outlineLevel="0" collapsed="false">
      <c r="F428" s="15"/>
    </row>
    <row r="429" customFormat="false" ht="15" hidden="false" customHeight="false" outlineLevel="0" collapsed="false">
      <c r="F429" s="15"/>
    </row>
    <row r="430" customFormat="false" ht="15" hidden="false" customHeight="false" outlineLevel="0" collapsed="false">
      <c r="F430" s="15"/>
    </row>
    <row r="431" customFormat="false" ht="15" hidden="false" customHeight="false" outlineLevel="0" collapsed="false">
      <c r="F431" s="15"/>
    </row>
    <row r="432" customFormat="false" ht="15" hidden="false" customHeight="false" outlineLevel="0" collapsed="false">
      <c r="F432" s="15"/>
    </row>
    <row r="433" customFormat="false" ht="15" hidden="false" customHeight="false" outlineLevel="0" collapsed="false">
      <c r="F433" s="15"/>
    </row>
    <row r="434" customFormat="false" ht="15" hidden="false" customHeight="false" outlineLevel="0" collapsed="false">
      <c r="F434" s="15"/>
    </row>
    <row r="435" customFormat="false" ht="15" hidden="false" customHeight="false" outlineLevel="0" collapsed="false">
      <c r="F435" s="15"/>
    </row>
    <row r="436" customFormat="false" ht="15" hidden="false" customHeight="false" outlineLevel="0" collapsed="false">
      <c r="F436" s="15"/>
    </row>
    <row r="437" customFormat="false" ht="15" hidden="false" customHeight="false" outlineLevel="0" collapsed="false">
      <c r="F437" s="15"/>
    </row>
    <row r="438" customFormat="false" ht="15" hidden="false" customHeight="false" outlineLevel="0" collapsed="false">
      <c r="F438" s="15"/>
    </row>
    <row r="439" customFormat="false" ht="15" hidden="false" customHeight="false" outlineLevel="0" collapsed="false">
      <c r="F439" s="15"/>
    </row>
    <row r="440" customFormat="false" ht="15" hidden="false" customHeight="false" outlineLevel="0" collapsed="false">
      <c r="F440" s="15"/>
    </row>
    <row r="441" customFormat="false" ht="15" hidden="false" customHeight="false" outlineLevel="0" collapsed="false">
      <c r="F441" s="15"/>
    </row>
    <row r="442" customFormat="false" ht="15" hidden="false" customHeight="false" outlineLevel="0" collapsed="false">
      <c r="F442" s="15"/>
    </row>
    <row r="443" customFormat="false" ht="15" hidden="false" customHeight="false" outlineLevel="0" collapsed="false">
      <c r="F443" s="15"/>
    </row>
    <row r="444" customFormat="false" ht="15" hidden="false" customHeight="false" outlineLevel="0" collapsed="false">
      <c r="F444" s="15"/>
    </row>
    <row r="445" customFormat="false" ht="15" hidden="false" customHeight="false" outlineLevel="0" collapsed="false">
      <c r="F445" s="15"/>
    </row>
    <row r="446" customFormat="false" ht="15" hidden="false" customHeight="false" outlineLevel="0" collapsed="false">
      <c r="F446" s="15"/>
    </row>
    <row r="447" customFormat="false" ht="15" hidden="false" customHeight="false" outlineLevel="0" collapsed="false">
      <c r="F447" s="15"/>
    </row>
    <row r="448" customFormat="false" ht="15" hidden="false" customHeight="false" outlineLevel="0" collapsed="false">
      <c r="F448" s="15"/>
    </row>
    <row r="449" customFormat="false" ht="15" hidden="false" customHeight="false" outlineLevel="0" collapsed="false">
      <c r="F449" s="15"/>
    </row>
    <row r="450" customFormat="false" ht="15" hidden="false" customHeight="false" outlineLevel="0" collapsed="false">
      <c r="F450" s="15"/>
    </row>
    <row r="451" customFormat="false" ht="15" hidden="false" customHeight="false" outlineLevel="0" collapsed="false">
      <c r="F451" s="15"/>
    </row>
    <row r="452" customFormat="false" ht="15" hidden="false" customHeight="false" outlineLevel="0" collapsed="false">
      <c r="F452" s="15"/>
    </row>
    <row r="453" customFormat="false" ht="15" hidden="false" customHeight="false" outlineLevel="0" collapsed="false">
      <c r="F453" s="15"/>
    </row>
    <row r="454" customFormat="false" ht="15" hidden="false" customHeight="false" outlineLevel="0" collapsed="false">
      <c r="F454" s="15"/>
    </row>
    <row r="455" customFormat="false" ht="15" hidden="false" customHeight="false" outlineLevel="0" collapsed="false">
      <c r="F455" s="15"/>
    </row>
    <row r="456" customFormat="false" ht="15" hidden="false" customHeight="false" outlineLevel="0" collapsed="false">
      <c r="F456" s="15"/>
    </row>
    <row r="457" customFormat="false" ht="15" hidden="false" customHeight="false" outlineLevel="0" collapsed="false">
      <c r="F457" s="15"/>
    </row>
    <row r="458" customFormat="false" ht="15" hidden="false" customHeight="false" outlineLevel="0" collapsed="false">
      <c r="F458" s="15"/>
    </row>
    <row r="459" customFormat="false" ht="15" hidden="false" customHeight="false" outlineLevel="0" collapsed="false">
      <c r="F459" s="15"/>
    </row>
    <row r="460" customFormat="false" ht="15" hidden="false" customHeight="false" outlineLevel="0" collapsed="false">
      <c r="F460" s="15"/>
    </row>
    <row r="461" customFormat="false" ht="15" hidden="false" customHeight="false" outlineLevel="0" collapsed="false">
      <c r="F461" s="15"/>
    </row>
    <row r="462" customFormat="false" ht="15" hidden="false" customHeight="false" outlineLevel="0" collapsed="false">
      <c r="F462" s="15"/>
    </row>
    <row r="463" customFormat="false" ht="15" hidden="false" customHeight="false" outlineLevel="0" collapsed="false">
      <c r="F463" s="15"/>
    </row>
    <row r="464" customFormat="false" ht="15" hidden="false" customHeight="false" outlineLevel="0" collapsed="false">
      <c r="F464" s="15"/>
    </row>
    <row r="465" customFormat="false" ht="15" hidden="false" customHeight="false" outlineLevel="0" collapsed="false">
      <c r="F465" s="15"/>
    </row>
    <row r="466" customFormat="false" ht="15" hidden="false" customHeight="false" outlineLevel="0" collapsed="false">
      <c r="F466" s="15"/>
    </row>
    <row r="467" customFormat="false" ht="15" hidden="false" customHeight="false" outlineLevel="0" collapsed="false">
      <c r="F467" s="15"/>
    </row>
    <row r="468" customFormat="false" ht="15" hidden="false" customHeight="false" outlineLevel="0" collapsed="false">
      <c r="F468" s="15"/>
    </row>
    <row r="469" customFormat="false" ht="15" hidden="false" customHeight="false" outlineLevel="0" collapsed="false">
      <c r="F469" s="15"/>
    </row>
    <row r="470" customFormat="false" ht="15" hidden="false" customHeight="false" outlineLevel="0" collapsed="false">
      <c r="F470" s="15"/>
    </row>
    <row r="471" customFormat="false" ht="15" hidden="false" customHeight="false" outlineLevel="0" collapsed="false">
      <c r="F471" s="15"/>
    </row>
    <row r="472" customFormat="false" ht="15" hidden="false" customHeight="false" outlineLevel="0" collapsed="false">
      <c r="F472" s="15"/>
    </row>
    <row r="473" customFormat="false" ht="15" hidden="false" customHeight="false" outlineLevel="0" collapsed="false">
      <c r="F473" s="15"/>
    </row>
    <row r="474" customFormat="false" ht="15" hidden="false" customHeight="false" outlineLevel="0" collapsed="false">
      <c r="F474" s="15"/>
    </row>
    <row r="475" customFormat="false" ht="15" hidden="false" customHeight="false" outlineLevel="0" collapsed="false">
      <c r="F475" s="15"/>
    </row>
    <row r="476" customFormat="false" ht="15" hidden="false" customHeight="false" outlineLevel="0" collapsed="false">
      <c r="F476" s="15"/>
    </row>
    <row r="477" customFormat="false" ht="15" hidden="false" customHeight="false" outlineLevel="0" collapsed="false">
      <c r="F477" s="15"/>
    </row>
    <row r="478" customFormat="false" ht="15" hidden="false" customHeight="false" outlineLevel="0" collapsed="false">
      <c r="F478" s="15"/>
    </row>
    <row r="479" customFormat="false" ht="15" hidden="false" customHeight="false" outlineLevel="0" collapsed="false">
      <c r="F479" s="15"/>
    </row>
    <row r="480" customFormat="false" ht="15" hidden="false" customHeight="false" outlineLevel="0" collapsed="false">
      <c r="F480" s="15"/>
    </row>
    <row r="481" customFormat="false" ht="15" hidden="false" customHeight="false" outlineLevel="0" collapsed="false">
      <c r="F481" s="15"/>
    </row>
    <row r="482" customFormat="false" ht="15" hidden="false" customHeight="false" outlineLevel="0" collapsed="false">
      <c r="F482" s="15"/>
    </row>
    <row r="483" customFormat="false" ht="15" hidden="false" customHeight="false" outlineLevel="0" collapsed="false">
      <c r="F483" s="15"/>
    </row>
    <row r="484" customFormat="false" ht="15" hidden="false" customHeight="false" outlineLevel="0" collapsed="false">
      <c r="F484" s="15"/>
    </row>
    <row r="485" customFormat="false" ht="15" hidden="false" customHeight="false" outlineLevel="0" collapsed="false">
      <c r="F485" s="15"/>
    </row>
    <row r="486" customFormat="false" ht="15" hidden="false" customHeight="false" outlineLevel="0" collapsed="false">
      <c r="F486" s="15"/>
    </row>
    <row r="487" customFormat="false" ht="15" hidden="false" customHeight="false" outlineLevel="0" collapsed="false">
      <c r="F487" s="15"/>
    </row>
    <row r="488" customFormat="false" ht="15" hidden="false" customHeight="false" outlineLevel="0" collapsed="false">
      <c r="F488" s="15"/>
    </row>
    <row r="489" customFormat="false" ht="15" hidden="false" customHeight="false" outlineLevel="0" collapsed="false">
      <c r="F489" s="15"/>
    </row>
    <row r="490" customFormat="false" ht="15" hidden="false" customHeight="false" outlineLevel="0" collapsed="false">
      <c r="F490" s="15"/>
    </row>
    <row r="491" customFormat="false" ht="15" hidden="false" customHeight="false" outlineLevel="0" collapsed="false">
      <c r="F491" s="15"/>
    </row>
    <row r="492" customFormat="false" ht="15" hidden="false" customHeight="false" outlineLevel="0" collapsed="false">
      <c r="F492" s="15"/>
    </row>
    <row r="493" customFormat="false" ht="15" hidden="false" customHeight="false" outlineLevel="0" collapsed="false">
      <c r="F493" s="15"/>
    </row>
    <row r="494" customFormat="false" ht="15" hidden="false" customHeight="false" outlineLevel="0" collapsed="false">
      <c r="F494" s="15"/>
    </row>
    <row r="495" customFormat="false" ht="15" hidden="false" customHeight="false" outlineLevel="0" collapsed="false">
      <c r="F495" s="15"/>
    </row>
    <row r="496" customFormat="false" ht="15" hidden="false" customHeight="false" outlineLevel="0" collapsed="false">
      <c r="F496" s="15"/>
    </row>
    <row r="497" customFormat="false" ht="15" hidden="false" customHeight="false" outlineLevel="0" collapsed="false">
      <c r="F497" s="15"/>
    </row>
    <row r="498" customFormat="false" ht="15" hidden="false" customHeight="false" outlineLevel="0" collapsed="false">
      <c r="F498" s="15"/>
    </row>
    <row r="499" customFormat="false" ht="15" hidden="false" customHeight="false" outlineLevel="0" collapsed="false">
      <c r="F499" s="15"/>
    </row>
    <row r="500" customFormat="false" ht="15" hidden="false" customHeight="false" outlineLevel="0" collapsed="false">
      <c r="F500" s="15"/>
    </row>
    <row r="501" customFormat="false" ht="15" hidden="false" customHeight="false" outlineLevel="0" collapsed="false">
      <c r="F501" s="15"/>
    </row>
    <row r="502" customFormat="false" ht="15" hidden="false" customHeight="false" outlineLevel="0" collapsed="false">
      <c r="F502" s="15"/>
    </row>
    <row r="503" customFormat="false" ht="15" hidden="false" customHeight="false" outlineLevel="0" collapsed="false">
      <c r="F503" s="15"/>
    </row>
    <row r="504" customFormat="false" ht="15" hidden="false" customHeight="false" outlineLevel="0" collapsed="false">
      <c r="F504" s="15"/>
    </row>
  </sheetData>
  <dataValidations count="7">
    <dataValidation allowBlank="true" error="Kies een waarde uit de lijst." errorStyle="stop" errorTitle="Ongeldige invoer" operator="between" showDropDown="false" showErrorMessage="false" showInputMessage="false" sqref="C5:C504" type="list">
      <formula1>Keuzelijsten!$J$5:$J$200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G5:G504" type="list">
      <formula1>Keuzelijsten!$M$5:$M$200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H5:H504" type="list">
      <formula1>Keuzelijsten!$K$5:$K$200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I5:I504" type="list">
      <formula1>Keuzelijsten!$L$5:$L$200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J5:J504" type="list">
      <formula1>Keuzelijsten!$N$5:$N$200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K5:K504" type="list">
      <formula1>Keuzelijsten!$N$5:$N$200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N5:N504" type="list">
      <formula1>Keuzelijsten!$Q$5:$Q$200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62"/>
  </cols>
  <sheetData>
    <row r="1" customFormat="false" ht="22.05" hidden="false" customHeight="false" outlineLevel="0" collapsed="false">
      <c r="A1" s="6" t="s">
        <v>16</v>
      </c>
    </row>
    <row r="2" customFormat="false" ht="25.5" hidden="false" customHeight="true" outlineLevel="0" collapsed="false">
      <c r="A2" s="7" t="s">
        <v>311</v>
      </c>
    </row>
    <row r="4" customFormat="false" ht="31.5" hidden="false" customHeight="true" outlineLevel="0" collapsed="false">
      <c r="A4" s="25" t="s">
        <v>312</v>
      </c>
      <c r="B4" s="25" t="s">
        <v>193</v>
      </c>
      <c r="C4" s="25" t="s">
        <v>313</v>
      </c>
      <c r="D4" s="25" t="s">
        <v>314</v>
      </c>
      <c r="E4" s="25" t="s">
        <v>315</v>
      </c>
      <c r="F4" s="25" t="s">
        <v>316</v>
      </c>
      <c r="G4" s="25" t="s">
        <v>317</v>
      </c>
      <c r="H4" s="25" t="s">
        <v>318</v>
      </c>
      <c r="I4" s="25" t="s">
        <v>319</v>
      </c>
    </row>
    <row r="5" customFormat="false" ht="15" hidden="false" customHeight="false" outlineLevel="0" collapsed="false">
      <c r="A5" s="10" t="s">
        <v>320</v>
      </c>
      <c r="B5" s="10" t="s">
        <v>67</v>
      </c>
      <c r="C5" s="10" t="n">
        <v>1</v>
      </c>
      <c r="D5" s="10" t="s">
        <v>321</v>
      </c>
      <c r="E5" s="10" t="s">
        <v>72</v>
      </c>
      <c r="F5" s="10" t="s">
        <v>71</v>
      </c>
      <c r="G5" s="10" t="s">
        <v>80</v>
      </c>
      <c r="H5" s="10"/>
      <c r="I5" s="14" t="s">
        <v>322</v>
      </c>
    </row>
    <row r="6" customFormat="false" ht="15" hidden="false" customHeight="false" outlineLevel="0" collapsed="false">
      <c r="A6" s="10" t="s">
        <v>323</v>
      </c>
      <c r="B6" s="10" t="s">
        <v>67</v>
      </c>
      <c r="C6" s="10" t="n">
        <v>2</v>
      </c>
      <c r="D6" s="10" t="s">
        <v>324</v>
      </c>
      <c r="E6" s="10" t="s">
        <v>120</v>
      </c>
      <c r="F6" s="10" t="s">
        <v>71</v>
      </c>
      <c r="G6" s="10" t="s">
        <v>80</v>
      </c>
      <c r="H6" s="10"/>
      <c r="I6" s="14" t="s">
        <v>325</v>
      </c>
    </row>
    <row r="7" customFormat="false" ht="15" hidden="false" customHeight="false" outlineLevel="0" collapsed="false">
      <c r="A7" s="10" t="s">
        <v>306</v>
      </c>
      <c r="B7" s="10" t="s">
        <v>67</v>
      </c>
      <c r="C7" s="10" t="n">
        <v>3</v>
      </c>
      <c r="D7" s="10" t="s">
        <v>326</v>
      </c>
      <c r="E7" s="10" t="s">
        <v>72</v>
      </c>
      <c r="F7" s="10" t="s">
        <v>71</v>
      </c>
      <c r="G7" s="10" t="s">
        <v>80</v>
      </c>
      <c r="H7" s="10"/>
      <c r="I7" s="14" t="s">
        <v>327</v>
      </c>
    </row>
    <row r="8" customFormat="false" ht="15" hidden="false" customHeight="false" outlineLevel="0" collapsed="false">
      <c r="A8" s="10" t="s">
        <v>328</v>
      </c>
      <c r="B8" s="10" t="s">
        <v>67</v>
      </c>
      <c r="C8" s="10" t="n">
        <v>4</v>
      </c>
      <c r="D8" s="10" t="s">
        <v>329</v>
      </c>
      <c r="E8" s="10" t="s">
        <v>105</v>
      </c>
      <c r="F8" s="10" t="s">
        <v>71</v>
      </c>
      <c r="G8" s="10" t="s">
        <v>80</v>
      </c>
      <c r="H8" s="10"/>
      <c r="I8" s="14" t="s">
        <v>330</v>
      </c>
    </row>
    <row r="9" customFormat="false" ht="15" hidden="false" customHeight="false" outlineLevel="0" collapsed="false">
      <c r="A9" s="10" t="s">
        <v>331</v>
      </c>
      <c r="B9" s="10" t="s">
        <v>67</v>
      </c>
      <c r="C9" s="10" t="n">
        <v>5</v>
      </c>
      <c r="D9" s="10" t="s">
        <v>332</v>
      </c>
      <c r="E9" s="10" t="s">
        <v>89</v>
      </c>
      <c r="F9" s="10" t="s">
        <v>71</v>
      </c>
      <c r="G9" s="10" t="s">
        <v>80</v>
      </c>
      <c r="H9" s="10"/>
      <c r="I9" s="14" t="s">
        <v>333</v>
      </c>
    </row>
    <row r="10" customFormat="false" ht="15" hidden="false" customHeight="false" outlineLevel="0" collapsed="false">
      <c r="A10" s="10" t="s">
        <v>334</v>
      </c>
      <c r="B10" s="10" t="s">
        <v>67</v>
      </c>
      <c r="C10" s="10" t="n">
        <v>6</v>
      </c>
      <c r="D10" s="10" t="s">
        <v>335</v>
      </c>
      <c r="E10" s="10" t="s">
        <v>89</v>
      </c>
      <c r="F10" s="10" t="s">
        <v>71</v>
      </c>
      <c r="G10" s="10" t="s">
        <v>80</v>
      </c>
      <c r="H10" s="10"/>
      <c r="I10" s="14" t="s">
        <v>336</v>
      </c>
    </row>
    <row r="11" customFormat="false" ht="15" hidden="false" customHeight="false" outlineLevel="0" collapsed="false">
      <c r="A11" s="10" t="s">
        <v>337</v>
      </c>
      <c r="B11" s="10" t="s">
        <v>67</v>
      </c>
      <c r="C11" s="10" t="n">
        <v>7</v>
      </c>
      <c r="D11" s="10" t="s">
        <v>338</v>
      </c>
      <c r="E11" s="10" t="s">
        <v>105</v>
      </c>
      <c r="F11" s="10" t="s">
        <v>71</v>
      </c>
      <c r="G11" s="10" t="s">
        <v>80</v>
      </c>
      <c r="H11" s="10"/>
      <c r="I11" s="14" t="s">
        <v>339</v>
      </c>
    </row>
    <row r="12" customFormat="false" ht="15" hidden="false" customHeight="false" outlineLevel="0" collapsed="false">
      <c r="A12" s="10" t="s">
        <v>340</v>
      </c>
      <c r="B12" s="10" t="s">
        <v>67</v>
      </c>
      <c r="C12" s="10" t="n">
        <v>8</v>
      </c>
      <c r="D12" s="10" t="s">
        <v>341</v>
      </c>
      <c r="E12" s="10" t="s">
        <v>72</v>
      </c>
      <c r="F12" s="10" t="s">
        <v>71</v>
      </c>
      <c r="G12" s="10" t="s">
        <v>80</v>
      </c>
      <c r="H12" s="10"/>
      <c r="I12" s="14" t="s">
        <v>342</v>
      </c>
    </row>
    <row r="13" customFormat="false" ht="15" hidden="false" customHeight="false" outlineLevel="0" collapsed="false">
      <c r="A13" s="10" t="s">
        <v>343</v>
      </c>
      <c r="B13" s="10" t="s">
        <v>67</v>
      </c>
      <c r="C13" s="10" t="n">
        <v>9</v>
      </c>
      <c r="D13" s="10" t="s">
        <v>117</v>
      </c>
      <c r="E13" s="10" t="s">
        <v>72</v>
      </c>
      <c r="F13" s="10" t="s">
        <v>71</v>
      </c>
      <c r="G13" s="10" t="s">
        <v>80</v>
      </c>
      <c r="H13" s="10"/>
      <c r="I13" s="14" t="s">
        <v>344</v>
      </c>
    </row>
    <row r="14" customFormat="false" ht="15" hidden="false" customHeight="false" outlineLevel="0" collapsed="false">
      <c r="A14" s="10" t="s">
        <v>345</v>
      </c>
      <c r="B14" s="10" t="s">
        <v>67</v>
      </c>
      <c r="C14" s="10" t="n">
        <v>10</v>
      </c>
      <c r="D14" s="10" t="s">
        <v>346</v>
      </c>
      <c r="E14" s="10" t="s">
        <v>120</v>
      </c>
      <c r="F14" s="10" t="s">
        <v>71</v>
      </c>
      <c r="G14" s="10" t="s">
        <v>80</v>
      </c>
      <c r="H14" s="10"/>
      <c r="I14" s="14" t="s">
        <v>347</v>
      </c>
    </row>
    <row r="15" customFormat="false" ht="15" hidden="false" customHeight="false" outlineLevel="0" collapsed="false">
      <c r="A15" s="10" t="s">
        <v>348</v>
      </c>
      <c r="B15" s="10" t="s">
        <v>67</v>
      </c>
      <c r="C15" s="10" t="n">
        <v>11</v>
      </c>
      <c r="D15" s="10" t="s">
        <v>349</v>
      </c>
      <c r="E15" s="10" t="s">
        <v>89</v>
      </c>
      <c r="F15" s="10" t="s">
        <v>88</v>
      </c>
      <c r="G15" s="10" t="s">
        <v>80</v>
      </c>
      <c r="H15" s="10"/>
      <c r="I15" s="14" t="s">
        <v>350</v>
      </c>
    </row>
    <row r="16" customFormat="false" ht="15" hidden="false" customHeight="false" outlineLevel="0" collapsed="false">
      <c r="A16" s="10" t="s">
        <v>351</v>
      </c>
      <c r="B16" s="10" t="s">
        <v>67</v>
      </c>
      <c r="C16" s="10" t="n">
        <v>12</v>
      </c>
      <c r="D16" s="10" t="s">
        <v>352</v>
      </c>
      <c r="E16" s="10" t="s">
        <v>132</v>
      </c>
      <c r="F16" s="10" t="s">
        <v>88</v>
      </c>
      <c r="G16" s="10" t="s">
        <v>80</v>
      </c>
      <c r="H16" s="10"/>
      <c r="I16" s="14" t="s">
        <v>353</v>
      </c>
    </row>
    <row r="17" customFormat="false" ht="15" hidden="false" customHeight="false" outlineLevel="0" collapsed="false">
      <c r="A17" s="10" t="s">
        <v>354</v>
      </c>
      <c r="B17" s="10" t="s">
        <v>67</v>
      </c>
      <c r="C17" s="10" t="n">
        <v>13</v>
      </c>
      <c r="D17" s="10" t="s">
        <v>355</v>
      </c>
      <c r="E17" s="10" t="s">
        <v>120</v>
      </c>
      <c r="F17" s="10" t="s">
        <v>88</v>
      </c>
      <c r="G17" s="10" t="s">
        <v>80</v>
      </c>
      <c r="H17" s="10"/>
      <c r="I17" s="14" t="s">
        <v>356</v>
      </c>
    </row>
    <row r="18" customFormat="false" ht="15" hidden="false" customHeight="false" outlineLevel="0" collapsed="false">
      <c r="A18" s="10" t="s">
        <v>357</v>
      </c>
      <c r="B18" s="10" t="s">
        <v>67</v>
      </c>
      <c r="C18" s="10" t="n">
        <v>14</v>
      </c>
      <c r="D18" s="10" t="s">
        <v>358</v>
      </c>
      <c r="E18" s="10" t="s">
        <v>120</v>
      </c>
      <c r="F18" s="10" t="s">
        <v>88</v>
      </c>
      <c r="G18" s="10" t="s">
        <v>80</v>
      </c>
      <c r="H18" s="10"/>
      <c r="I18" s="14" t="s">
        <v>359</v>
      </c>
    </row>
    <row r="19" customFormat="false" ht="15" hidden="false" customHeight="false" outlineLevel="0" collapsed="false">
      <c r="A19" s="10" t="s">
        <v>360</v>
      </c>
      <c r="B19" s="10" t="s">
        <v>67</v>
      </c>
      <c r="C19" s="10" t="n">
        <v>15</v>
      </c>
      <c r="D19" s="10" t="s">
        <v>361</v>
      </c>
      <c r="E19" s="10" t="s">
        <v>89</v>
      </c>
      <c r="F19" s="10" t="s">
        <v>104</v>
      </c>
      <c r="G19" s="10" t="s">
        <v>80</v>
      </c>
      <c r="H19" s="10"/>
      <c r="I19" s="14" t="s">
        <v>362</v>
      </c>
    </row>
    <row r="20" customFormat="false" ht="15" hidden="false" customHeight="false" outlineLevel="0" collapsed="false">
      <c r="A20" s="10" t="s">
        <v>363</v>
      </c>
      <c r="B20" s="10" t="s">
        <v>67</v>
      </c>
      <c r="C20" s="10" t="n">
        <v>16</v>
      </c>
      <c r="D20" s="10" t="s">
        <v>364</v>
      </c>
      <c r="E20" s="10" t="s">
        <v>145</v>
      </c>
      <c r="F20" s="10" t="s">
        <v>104</v>
      </c>
      <c r="G20" s="10" t="s">
        <v>80</v>
      </c>
      <c r="H20" s="10"/>
      <c r="I20" s="14" t="s">
        <v>365</v>
      </c>
    </row>
    <row r="21" customFormat="false" ht="15" hidden="false" customHeight="false" outlineLevel="0" collapsed="false">
      <c r="A21" s="10" t="s">
        <v>366</v>
      </c>
      <c r="B21" s="10" t="s">
        <v>67</v>
      </c>
      <c r="C21" s="10" t="n">
        <v>17</v>
      </c>
      <c r="D21" s="10" t="s">
        <v>367</v>
      </c>
      <c r="E21" s="10" t="s">
        <v>72</v>
      </c>
      <c r="F21" s="10" t="s">
        <v>104</v>
      </c>
      <c r="G21" s="10" t="s">
        <v>80</v>
      </c>
      <c r="H21" s="10"/>
      <c r="I21" s="14" t="s">
        <v>368</v>
      </c>
    </row>
    <row r="22" customFormat="false" ht="15" hidden="false" customHeight="false" outlineLevel="0" collapsed="false">
      <c r="A22" s="10" t="s">
        <v>369</v>
      </c>
      <c r="B22" s="10" t="s">
        <v>67</v>
      </c>
      <c r="C22" s="10" t="n">
        <v>18</v>
      </c>
      <c r="D22" s="10" t="s">
        <v>370</v>
      </c>
      <c r="E22" s="10" t="s">
        <v>105</v>
      </c>
      <c r="F22" s="10" t="s">
        <v>119</v>
      </c>
      <c r="G22" s="10" t="s">
        <v>80</v>
      </c>
      <c r="H22" s="10"/>
      <c r="I22" s="14" t="s">
        <v>371</v>
      </c>
    </row>
    <row r="23" customFormat="false" ht="15" hidden="false" customHeight="false" outlineLevel="0" collapsed="false">
      <c r="A23" s="10" t="s">
        <v>372</v>
      </c>
      <c r="B23" s="10" t="s">
        <v>67</v>
      </c>
      <c r="C23" s="10" t="n">
        <v>19</v>
      </c>
      <c r="D23" s="10" t="s">
        <v>373</v>
      </c>
      <c r="E23" s="10" t="s">
        <v>155</v>
      </c>
      <c r="F23" s="10" t="s">
        <v>119</v>
      </c>
      <c r="G23" s="10" t="s">
        <v>80</v>
      </c>
      <c r="H23" s="10"/>
      <c r="I23" s="14" t="s">
        <v>374</v>
      </c>
    </row>
    <row r="24" customFormat="false" ht="15" hidden="false" customHeight="false" outlineLevel="0" collapsed="false">
      <c r="A24" s="10" t="s">
        <v>375</v>
      </c>
      <c r="B24" s="10" t="s">
        <v>67</v>
      </c>
      <c r="C24" s="10" t="n">
        <v>20</v>
      </c>
      <c r="D24" s="10" t="s">
        <v>189</v>
      </c>
      <c r="E24" s="10" t="s">
        <v>155</v>
      </c>
      <c r="F24" s="10" t="s">
        <v>119</v>
      </c>
      <c r="G24" s="10" t="s">
        <v>97</v>
      </c>
      <c r="H24" s="10"/>
      <c r="I24" s="14" t="s">
        <v>376</v>
      </c>
    </row>
    <row r="25" customFormat="false" ht="15" hidden="false" customHeight="false" outlineLevel="0" collapsed="false">
      <c r="A25" s="10" t="s">
        <v>377</v>
      </c>
      <c r="B25" s="10" t="s">
        <v>84</v>
      </c>
      <c r="C25" s="10" t="n">
        <v>1</v>
      </c>
      <c r="D25" s="10" t="s">
        <v>378</v>
      </c>
      <c r="E25" s="10" t="s">
        <v>72</v>
      </c>
      <c r="F25" s="10" t="s">
        <v>71</v>
      </c>
      <c r="G25" s="10" t="s">
        <v>80</v>
      </c>
      <c r="H25" s="10"/>
      <c r="I25" s="14" t="s">
        <v>379</v>
      </c>
    </row>
    <row r="26" customFormat="false" ht="15" hidden="false" customHeight="false" outlineLevel="0" collapsed="false">
      <c r="A26" s="10" t="s">
        <v>380</v>
      </c>
      <c r="B26" s="10" t="s">
        <v>84</v>
      </c>
      <c r="C26" s="10" t="n">
        <v>2</v>
      </c>
      <c r="D26" s="10" t="s">
        <v>381</v>
      </c>
      <c r="E26" s="10" t="s">
        <v>72</v>
      </c>
      <c r="F26" s="10" t="s">
        <v>71</v>
      </c>
      <c r="G26" s="10" t="s">
        <v>80</v>
      </c>
      <c r="H26" s="10"/>
      <c r="I26" s="14" t="s">
        <v>382</v>
      </c>
    </row>
    <row r="27" customFormat="false" ht="15" hidden="false" customHeight="false" outlineLevel="0" collapsed="false">
      <c r="A27" s="10" t="s">
        <v>383</v>
      </c>
      <c r="B27" s="10" t="s">
        <v>84</v>
      </c>
      <c r="C27" s="10" t="n">
        <v>3</v>
      </c>
      <c r="D27" s="10" t="s">
        <v>384</v>
      </c>
      <c r="E27" s="10" t="s">
        <v>120</v>
      </c>
      <c r="F27" s="10" t="s">
        <v>71</v>
      </c>
      <c r="G27" s="10" t="s">
        <v>80</v>
      </c>
      <c r="H27" s="10"/>
      <c r="I27" s="14" t="s">
        <v>385</v>
      </c>
    </row>
    <row r="28" customFormat="false" ht="15" hidden="false" customHeight="false" outlineLevel="0" collapsed="false">
      <c r="A28" s="10" t="s">
        <v>310</v>
      </c>
      <c r="B28" s="10" t="s">
        <v>84</v>
      </c>
      <c r="C28" s="10" t="n">
        <v>4</v>
      </c>
      <c r="D28" s="10" t="s">
        <v>386</v>
      </c>
      <c r="E28" s="10" t="s">
        <v>72</v>
      </c>
      <c r="F28" s="10" t="s">
        <v>71</v>
      </c>
      <c r="G28" s="10" t="s">
        <v>80</v>
      </c>
      <c r="H28" s="10"/>
      <c r="I28" s="14" t="s">
        <v>387</v>
      </c>
    </row>
    <row r="29" customFormat="false" ht="15" hidden="false" customHeight="false" outlineLevel="0" collapsed="false">
      <c r="A29" s="10" t="s">
        <v>388</v>
      </c>
      <c r="B29" s="10" t="s">
        <v>84</v>
      </c>
      <c r="C29" s="10" t="n">
        <v>5</v>
      </c>
      <c r="D29" s="10" t="s">
        <v>389</v>
      </c>
      <c r="E29" s="10" t="s">
        <v>105</v>
      </c>
      <c r="F29" s="10" t="s">
        <v>71</v>
      </c>
      <c r="G29" s="10" t="s">
        <v>80</v>
      </c>
      <c r="H29" s="10"/>
      <c r="I29" s="14" t="s">
        <v>390</v>
      </c>
    </row>
    <row r="30" customFormat="false" ht="15" hidden="false" customHeight="false" outlineLevel="0" collapsed="false">
      <c r="A30" s="10" t="s">
        <v>391</v>
      </c>
      <c r="B30" s="10" t="s">
        <v>84</v>
      </c>
      <c r="C30" s="10" t="n">
        <v>6</v>
      </c>
      <c r="D30" s="10" t="s">
        <v>392</v>
      </c>
      <c r="E30" s="10" t="s">
        <v>89</v>
      </c>
      <c r="F30" s="10" t="s">
        <v>71</v>
      </c>
      <c r="G30" s="10" t="s">
        <v>80</v>
      </c>
      <c r="H30" s="10"/>
      <c r="I30" s="14" t="s">
        <v>393</v>
      </c>
    </row>
    <row r="31" customFormat="false" ht="15" hidden="false" customHeight="false" outlineLevel="0" collapsed="false">
      <c r="A31" s="10" t="s">
        <v>394</v>
      </c>
      <c r="B31" s="10" t="s">
        <v>84</v>
      </c>
      <c r="C31" s="10" t="n">
        <v>7</v>
      </c>
      <c r="D31" s="10" t="s">
        <v>395</v>
      </c>
      <c r="E31" s="10" t="s">
        <v>89</v>
      </c>
      <c r="F31" s="10" t="s">
        <v>88</v>
      </c>
      <c r="G31" s="10" t="s">
        <v>80</v>
      </c>
      <c r="H31" s="10"/>
      <c r="I31" s="14" t="s">
        <v>396</v>
      </c>
    </row>
    <row r="32" customFormat="false" ht="15" hidden="false" customHeight="false" outlineLevel="0" collapsed="false">
      <c r="A32" s="10" t="s">
        <v>397</v>
      </c>
      <c r="B32" s="10" t="s">
        <v>84</v>
      </c>
      <c r="C32" s="10" t="n">
        <v>8</v>
      </c>
      <c r="D32" s="10" t="s">
        <v>398</v>
      </c>
      <c r="E32" s="10" t="s">
        <v>89</v>
      </c>
      <c r="F32" s="10" t="s">
        <v>88</v>
      </c>
      <c r="G32" s="10" t="s">
        <v>80</v>
      </c>
      <c r="H32" s="10"/>
      <c r="I32" s="14" t="s">
        <v>399</v>
      </c>
    </row>
    <row r="33" customFormat="false" ht="15" hidden="false" customHeight="false" outlineLevel="0" collapsed="false">
      <c r="A33" s="10" t="s">
        <v>400</v>
      </c>
      <c r="B33" s="10" t="s">
        <v>84</v>
      </c>
      <c r="C33" s="10" t="n">
        <v>9</v>
      </c>
      <c r="D33" s="10" t="s">
        <v>401</v>
      </c>
      <c r="E33" s="10" t="s">
        <v>120</v>
      </c>
      <c r="F33" s="10" t="s">
        <v>88</v>
      </c>
      <c r="G33" s="10" t="s">
        <v>80</v>
      </c>
      <c r="H33" s="10"/>
      <c r="I33" s="14" t="s">
        <v>402</v>
      </c>
    </row>
    <row r="34" customFormat="false" ht="15" hidden="false" customHeight="false" outlineLevel="0" collapsed="false">
      <c r="A34" s="10" t="s">
        <v>403</v>
      </c>
      <c r="B34" s="10" t="s">
        <v>84</v>
      </c>
      <c r="C34" s="10" t="n">
        <v>10</v>
      </c>
      <c r="D34" s="10" t="s">
        <v>404</v>
      </c>
      <c r="E34" s="10" t="s">
        <v>155</v>
      </c>
      <c r="F34" s="10" t="s">
        <v>88</v>
      </c>
      <c r="G34" s="10" t="s">
        <v>80</v>
      </c>
      <c r="H34" s="10"/>
      <c r="I34" s="14" t="s">
        <v>405</v>
      </c>
    </row>
    <row r="35" customFormat="false" ht="15" hidden="false" customHeight="false" outlineLevel="0" collapsed="false">
      <c r="A35" s="10" t="s">
        <v>406</v>
      </c>
      <c r="B35" s="10" t="s">
        <v>84</v>
      </c>
      <c r="C35" s="10" t="n">
        <v>11</v>
      </c>
      <c r="D35" s="10" t="s">
        <v>407</v>
      </c>
      <c r="E35" s="10" t="s">
        <v>132</v>
      </c>
      <c r="F35" s="10" t="s">
        <v>88</v>
      </c>
      <c r="G35" s="10" t="s">
        <v>80</v>
      </c>
      <c r="H35" s="10"/>
      <c r="I35" s="14" t="s">
        <v>408</v>
      </c>
    </row>
    <row r="36" customFormat="false" ht="15" hidden="false" customHeight="false" outlineLevel="0" collapsed="false">
      <c r="A36" s="10" t="s">
        <v>409</v>
      </c>
      <c r="B36" s="10" t="s">
        <v>84</v>
      </c>
      <c r="C36" s="10" t="n">
        <v>12</v>
      </c>
      <c r="D36" s="10" t="s">
        <v>410</v>
      </c>
      <c r="E36" s="10" t="s">
        <v>132</v>
      </c>
      <c r="F36" s="10" t="s">
        <v>88</v>
      </c>
      <c r="G36" s="10" t="s">
        <v>80</v>
      </c>
      <c r="H36" s="10"/>
      <c r="I36" s="14" t="s">
        <v>411</v>
      </c>
    </row>
    <row r="37" customFormat="false" ht="15" hidden="false" customHeight="false" outlineLevel="0" collapsed="false">
      <c r="A37" s="10" t="s">
        <v>412</v>
      </c>
      <c r="B37" s="10" t="s">
        <v>84</v>
      </c>
      <c r="C37" s="10" t="n">
        <v>13</v>
      </c>
      <c r="D37" s="10" t="s">
        <v>117</v>
      </c>
      <c r="E37" s="10" t="s">
        <v>72</v>
      </c>
      <c r="F37" s="10" t="s">
        <v>71</v>
      </c>
      <c r="G37" s="10" t="s">
        <v>80</v>
      </c>
      <c r="H37" s="10"/>
      <c r="I37" s="14" t="s">
        <v>413</v>
      </c>
    </row>
    <row r="38" customFormat="false" ht="15" hidden="false" customHeight="false" outlineLevel="0" collapsed="false">
      <c r="A38" s="10" t="s">
        <v>414</v>
      </c>
      <c r="B38" s="10" t="s">
        <v>84</v>
      </c>
      <c r="C38" s="10" t="n">
        <v>14</v>
      </c>
      <c r="D38" s="10" t="s">
        <v>415</v>
      </c>
      <c r="E38" s="10" t="s">
        <v>120</v>
      </c>
      <c r="F38" s="10" t="s">
        <v>88</v>
      </c>
      <c r="G38" s="10" t="s">
        <v>80</v>
      </c>
      <c r="H38" s="10"/>
      <c r="I38" s="14" t="s">
        <v>416</v>
      </c>
    </row>
    <row r="39" customFormat="false" ht="15" hidden="false" customHeight="false" outlineLevel="0" collapsed="false">
      <c r="A39" s="10" t="s">
        <v>417</v>
      </c>
      <c r="B39" s="10" t="s">
        <v>84</v>
      </c>
      <c r="C39" s="10" t="n">
        <v>15</v>
      </c>
      <c r="D39" s="10" t="s">
        <v>418</v>
      </c>
      <c r="E39" s="10" t="s">
        <v>120</v>
      </c>
      <c r="F39" s="10" t="s">
        <v>104</v>
      </c>
      <c r="G39" s="10" t="s">
        <v>80</v>
      </c>
      <c r="H39" s="10"/>
      <c r="I39" s="14" t="s">
        <v>419</v>
      </c>
    </row>
    <row r="40" customFormat="false" ht="15" hidden="false" customHeight="false" outlineLevel="0" collapsed="false">
      <c r="A40" s="10" t="s">
        <v>420</v>
      </c>
      <c r="B40" s="10" t="s">
        <v>84</v>
      </c>
      <c r="C40" s="10" t="n">
        <v>16</v>
      </c>
      <c r="D40" s="10" t="s">
        <v>421</v>
      </c>
      <c r="E40" s="10" t="s">
        <v>105</v>
      </c>
      <c r="F40" s="10" t="s">
        <v>104</v>
      </c>
      <c r="G40" s="10" t="s">
        <v>80</v>
      </c>
      <c r="H40" s="10"/>
      <c r="I40" s="14" t="s">
        <v>422</v>
      </c>
    </row>
    <row r="41" customFormat="false" ht="15" hidden="false" customHeight="false" outlineLevel="0" collapsed="false">
      <c r="A41" s="10" t="s">
        <v>423</v>
      </c>
      <c r="B41" s="10" t="s">
        <v>84</v>
      </c>
      <c r="C41" s="10" t="n">
        <v>17</v>
      </c>
      <c r="D41" s="10" t="s">
        <v>424</v>
      </c>
      <c r="E41" s="10" t="s">
        <v>89</v>
      </c>
      <c r="F41" s="10" t="s">
        <v>104</v>
      </c>
      <c r="G41" s="10" t="s">
        <v>80</v>
      </c>
      <c r="H41" s="10"/>
      <c r="I41" s="14" t="s">
        <v>425</v>
      </c>
    </row>
    <row r="42" customFormat="false" ht="15" hidden="false" customHeight="false" outlineLevel="0" collapsed="false">
      <c r="A42" s="10" t="s">
        <v>426</v>
      </c>
      <c r="B42" s="10" t="s">
        <v>84</v>
      </c>
      <c r="C42" s="10" t="n">
        <v>18</v>
      </c>
      <c r="D42" s="10" t="s">
        <v>427</v>
      </c>
      <c r="E42" s="10" t="s">
        <v>155</v>
      </c>
      <c r="F42" s="10" t="s">
        <v>119</v>
      </c>
      <c r="G42" s="10" t="s">
        <v>80</v>
      </c>
      <c r="H42" s="10"/>
      <c r="I42" s="14" t="s">
        <v>428</v>
      </c>
    </row>
    <row r="43" customFormat="false" ht="15" hidden="false" customHeight="false" outlineLevel="0" collapsed="false">
      <c r="A43" s="10" t="s">
        <v>429</v>
      </c>
      <c r="B43" s="10" t="s">
        <v>84</v>
      </c>
      <c r="C43" s="10" t="n">
        <v>19</v>
      </c>
      <c r="D43" s="10" t="s">
        <v>430</v>
      </c>
      <c r="E43" s="10" t="s">
        <v>155</v>
      </c>
      <c r="F43" s="10" t="s">
        <v>119</v>
      </c>
      <c r="G43" s="10" t="s">
        <v>97</v>
      </c>
      <c r="H43" s="10"/>
      <c r="I43" s="14" t="s">
        <v>431</v>
      </c>
    </row>
  </sheetData>
  <dataValidations count="4">
    <dataValidation allowBlank="true" error="Kies een waarde uit de lijst." errorStyle="stop" errorTitle="Ongeldige invoer" operator="between" showDropDown="false" showErrorMessage="false" showInputMessage="false" sqref="B5:B504" type="list">
      <formula1>Keuzelijsten!$A$5:$A$200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E5:E504" type="list">
      <formula1>Keuzelijsten!$F$5:$F$200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F5:F504" type="list">
      <formula1>Keuzelijsten!$E$5:$E$200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G5:G504" type="list">
      <formula1>Keuzelijsten!$N$5:$N$200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44"/>
    <col collapsed="false" customWidth="true" hidden="false" outlineLevel="0" max="7" min="6" style="0" width="20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40"/>
  </cols>
  <sheetData>
    <row r="1" customFormat="false" ht="22.05" hidden="false" customHeight="false" outlineLevel="0" collapsed="false">
      <c r="A1" s="6" t="s">
        <v>14</v>
      </c>
    </row>
    <row r="2" customFormat="false" ht="25.5" hidden="false" customHeight="true" outlineLevel="0" collapsed="false">
      <c r="A2" s="7" t="s">
        <v>432</v>
      </c>
    </row>
    <row r="4" customFormat="false" ht="31.5" hidden="false" customHeight="true" outlineLevel="0" collapsed="false">
      <c r="A4" s="25" t="s">
        <v>433</v>
      </c>
      <c r="B4" s="25" t="s">
        <v>192</v>
      </c>
      <c r="C4" s="25" t="s">
        <v>312</v>
      </c>
      <c r="D4" s="25" t="s">
        <v>434</v>
      </c>
      <c r="E4" s="25" t="s">
        <v>314</v>
      </c>
      <c r="F4" s="25" t="s">
        <v>315</v>
      </c>
      <c r="G4" s="25" t="s">
        <v>271</v>
      </c>
      <c r="H4" s="25" t="s">
        <v>435</v>
      </c>
      <c r="I4" s="25" t="s">
        <v>436</v>
      </c>
      <c r="J4" s="25" t="s">
        <v>437</v>
      </c>
      <c r="K4" s="25" t="s">
        <v>438</v>
      </c>
      <c r="L4" s="25" t="s">
        <v>439</v>
      </c>
      <c r="M4" s="25" t="s">
        <v>440</v>
      </c>
      <c r="N4" s="25" t="s">
        <v>213</v>
      </c>
    </row>
    <row r="5" customFormat="false" ht="15" hidden="false" customHeight="false" outlineLevel="0" collapsed="false">
      <c r="A5" s="10" t="s">
        <v>441</v>
      </c>
      <c r="B5" s="10" t="s">
        <v>215</v>
      </c>
      <c r="C5" s="10" t="s">
        <v>320</v>
      </c>
      <c r="D5" s="10" t="n">
        <f aca="false">IFERROR(INDEX(Ontwikkelstappen!$C$5:$C$504,MATCH($C5,Ontwikkelstappen!$A$5:$A$504,0)),"")</f>
        <v>1</v>
      </c>
      <c r="E5" s="10" t="str">
        <f aca="false">IFERROR(INDEX(Ontwikkelstappen!$D$5:$D$504,MATCH($C5,Ontwikkelstappen!$A$5:$A$504,0)),"")</f>
        <v>Lead gekwalificeerd</v>
      </c>
      <c r="F5" s="10" t="str">
        <f aca="false">IFERROR(INDEX(Ontwikkelstappen!$E$5:$E$504,MATCH($C5,Ontwikkelstappen!$A$5:$A$504,0)),"")</f>
        <v>Commercieel</v>
      </c>
      <c r="G5" s="10" t="s">
        <v>106</v>
      </c>
      <c r="H5" s="11"/>
      <c r="I5" s="11"/>
      <c r="J5" s="11"/>
      <c r="K5" s="10" t="s">
        <v>83</v>
      </c>
      <c r="L5" s="10" t="n">
        <f aca="false">IF($D5="",9999,IF(OR($G5="Gereed",$G5="Niet van toepassing"),9999,$D5))</f>
        <v>9999</v>
      </c>
      <c r="M5" s="10" t="str">
        <f aca="false">IF($B5="","",$B5&amp;"|"&amp;TEXT($D5,"00"))</f>
        <v>LEAD-001|01</v>
      </c>
      <c r="N5" s="14"/>
    </row>
    <row r="6" customFormat="false" ht="15" hidden="false" customHeight="false" outlineLevel="0" collapsed="false">
      <c r="A6" s="10" t="s">
        <v>442</v>
      </c>
      <c r="B6" s="10" t="s">
        <v>215</v>
      </c>
      <c r="C6" s="10" t="s">
        <v>323</v>
      </c>
      <c r="D6" s="10" t="n">
        <f aca="false">IFERROR(INDEX(Ontwikkelstappen!$C$5:$C$504,MATCH($C6,Ontwikkelstappen!$A$5:$A$504,0)),"")</f>
        <v>2</v>
      </c>
      <c r="E6" s="10" t="str">
        <f aca="false">IFERROR(INDEX(Ontwikkelstappen!$D$5:$D$504,MATCH($C6,Ontwikkelstappen!$A$5:$A$504,0)),"")</f>
        <v>NDA getekend</v>
      </c>
      <c r="F6" s="10" t="str">
        <f aca="false">IFERROR(INDEX(Ontwikkelstappen!$E$5:$E$504,MATCH($C6,Ontwikkelstappen!$A$5:$A$504,0)),"")</f>
        <v>Juridisch</v>
      </c>
      <c r="G6" s="10" t="s">
        <v>106</v>
      </c>
      <c r="H6" s="11"/>
      <c r="I6" s="11"/>
      <c r="J6" s="11"/>
      <c r="K6" s="10" t="s">
        <v>83</v>
      </c>
      <c r="L6" s="10" t="n">
        <f aca="false">IF($D6="",9999,IF(OR($G6="Gereed",$G6="Niet van toepassing"),9999,$D6))</f>
        <v>9999</v>
      </c>
      <c r="M6" s="10" t="str">
        <f aca="false">IF($B6="","",$B6&amp;"|"&amp;TEXT($D6,"00"))</f>
        <v>LEAD-001|02</v>
      </c>
      <c r="N6" s="14"/>
    </row>
    <row r="7" customFormat="false" ht="15" hidden="false" customHeight="false" outlineLevel="0" collapsed="false">
      <c r="A7" s="10" t="s">
        <v>443</v>
      </c>
      <c r="B7" s="10" t="s">
        <v>215</v>
      </c>
      <c r="C7" s="10" t="s">
        <v>306</v>
      </c>
      <c r="D7" s="10" t="n">
        <f aca="false">IFERROR(INDEX(Ontwikkelstappen!$C$5:$C$504,MATCH($C7,Ontwikkelstappen!$A$5:$A$504,0)),"")</f>
        <v>3</v>
      </c>
      <c r="E7" s="10" t="str">
        <f aca="false">IFERROR(INDEX(Ontwikkelstappen!$D$5:$D$504,MATCH($C7,Ontwikkelstappen!$A$5:$A$504,0)),"")</f>
        <v>Bronnen opgevraagd en ontvangen</v>
      </c>
      <c r="F7" s="10" t="str">
        <f aca="false">IFERROR(INDEX(Ontwikkelstappen!$E$5:$E$504,MATCH($C7,Ontwikkelstappen!$A$5:$A$504,0)),"")</f>
        <v>Commercieel</v>
      </c>
      <c r="G7" s="10" t="s">
        <v>90</v>
      </c>
      <c r="H7" s="11"/>
      <c r="I7" s="11"/>
      <c r="J7" s="11"/>
      <c r="K7" s="10" t="s">
        <v>83</v>
      </c>
      <c r="L7" s="10" t="n">
        <f aca="false">IF($D7="",9999,IF(OR($G7="Gereed",$G7="Niet van toepassing"),9999,$D7))</f>
        <v>3</v>
      </c>
      <c r="M7" s="10" t="str">
        <f aca="false">IF($B7="","",$B7&amp;"|"&amp;TEXT($D7,"00"))</f>
        <v>LEAD-001|03</v>
      </c>
      <c r="N7" s="14"/>
    </row>
    <row r="8" customFormat="false" ht="15" hidden="false" customHeight="false" outlineLevel="0" collapsed="false">
      <c r="A8" s="10" t="s">
        <v>444</v>
      </c>
      <c r="B8" s="10" t="s">
        <v>215</v>
      </c>
      <c r="C8" s="10" t="s">
        <v>328</v>
      </c>
      <c r="D8" s="10" t="n">
        <f aca="false">IFERROR(INDEX(Ontwikkelstappen!$C$5:$C$504,MATCH($C8,Ontwikkelstappen!$A$5:$A$504,0)),"")</f>
        <v>4</v>
      </c>
      <c r="E8" s="10" t="str">
        <f aca="false">IFERROR(INDEX(Ontwikkelstappen!$D$5:$D$504,MATCH($C8,Ontwikkelstappen!$A$5:$A$504,0)),"")</f>
        <v>Quickscan netcapaciteit en congestiestatus</v>
      </c>
      <c r="F8" s="10" t="str">
        <f aca="false">IFERROR(INDEX(Ontwikkelstappen!$E$5:$E$504,MATCH($C8,Ontwikkelstappen!$A$5:$A$504,0)),"")</f>
        <v>Net en congestie</v>
      </c>
      <c r="G8" s="10" t="s">
        <v>106</v>
      </c>
      <c r="H8" s="11"/>
      <c r="I8" s="11"/>
      <c r="J8" s="11"/>
      <c r="K8" s="10" t="s">
        <v>83</v>
      </c>
      <c r="L8" s="10" t="n">
        <f aca="false">IF($D8="",9999,IF(OR($G8="Gereed",$G8="Niet van toepassing"),9999,$D8))</f>
        <v>9999</v>
      </c>
      <c r="M8" s="10" t="str">
        <f aca="false">IF($B8="","",$B8&amp;"|"&amp;TEXT($D8,"00"))</f>
        <v>LEAD-001|04</v>
      </c>
      <c r="N8" s="14"/>
    </row>
    <row r="9" customFormat="false" ht="15" hidden="false" customHeight="false" outlineLevel="0" collapsed="false">
      <c r="A9" s="10" t="s">
        <v>445</v>
      </c>
      <c r="B9" s="10" t="s">
        <v>215</v>
      </c>
      <c r="C9" s="10" t="s">
        <v>331</v>
      </c>
      <c r="D9" s="10" t="n">
        <f aca="false">IFERROR(INDEX(Ontwikkelstappen!$C$5:$C$504,MATCH($C9,Ontwikkelstappen!$A$5:$A$504,0)),"")</f>
        <v>5</v>
      </c>
      <c r="E9" s="10" t="str">
        <f aca="false">IFERROR(INDEX(Ontwikkelstappen!$D$5:$D$504,MATCH($C9,Ontwikkelstappen!$A$5:$A$504,0)),"")</f>
        <v>Vraagprofiel elektriciteit en warmte</v>
      </c>
      <c r="F9" s="10" t="str">
        <f aca="false">IFERROR(INDEX(Ontwikkelstappen!$E$5:$E$504,MATCH($C9,Ontwikkelstappen!$A$5:$A$504,0)),"")</f>
        <v>Techniek</v>
      </c>
      <c r="G9" s="10" t="s">
        <v>90</v>
      </c>
      <c r="H9" s="11"/>
      <c r="I9" s="11"/>
      <c r="J9" s="11"/>
      <c r="K9" s="10" t="s">
        <v>83</v>
      </c>
      <c r="L9" s="10" t="n">
        <f aca="false">IF($D9="",9999,IF(OR($G9="Gereed",$G9="Niet van toepassing"),9999,$D9))</f>
        <v>5</v>
      </c>
      <c r="M9" s="10" t="str">
        <f aca="false">IF($B9="","",$B9&amp;"|"&amp;TEXT($D9,"00"))</f>
        <v>LEAD-001|05</v>
      </c>
      <c r="N9" s="14"/>
    </row>
    <row r="10" customFormat="false" ht="15" hidden="false" customHeight="false" outlineLevel="0" collapsed="false">
      <c r="A10" s="10" t="s">
        <v>446</v>
      </c>
      <c r="B10" s="10" t="s">
        <v>215</v>
      </c>
      <c r="C10" s="10" t="s">
        <v>334</v>
      </c>
      <c r="D10" s="10" t="n">
        <f aca="false">IFERROR(INDEX(Ontwikkelstappen!$C$5:$C$504,MATCH($C10,Ontwikkelstappen!$A$5:$A$504,0)),"")</f>
        <v>6</v>
      </c>
      <c r="E10" s="10" t="str">
        <f aca="false">IFERROR(INDEX(Ontwikkelstappen!$D$5:$D$504,MATCH($C10,Ontwikkelstappen!$A$5:$A$504,0)),"")</f>
        <v>Piek- en gelijktijdigheidsanalyse</v>
      </c>
      <c r="F10" s="10" t="str">
        <f aca="false">IFERROR(INDEX(Ontwikkelstappen!$E$5:$E$504,MATCH($C10,Ontwikkelstappen!$A$5:$A$504,0)),"")</f>
        <v>Techniek</v>
      </c>
      <c r="G10" s="10" t="s">
        <v>73</v>
      </c>
      <c r="H10" s="11"/>
      <c r="I10" s="11"/>
      <c r="J10" s="11"/>
      <c r="K10" s="10" t="s">
        <v>83</v>
      </c>
      <c r="L10" s="10" t="n">
        <f aca="false">IF($D10="",9999,IF(OR($G10="Gereed",$G10="Niet van toepassing"),9999,$D10))</f>
        <v>6</v>
      </c>
      <c r="M10" s="10" t="str">
        <f aca="false">IF($B10="","",$B10&amp;"|"&amp;TEXT($D10,"00"))</f>
        <v>LEAD-001|06</v>
      </c>
      <c r="N10" s="14"/>
    </row>
    <row r="11" customFormat="false" ht="15" hidden="false" customHeight="false" outlineLevel="0" collapsed="false">
      <c r="A11" s="10" t="s">
        <v>447</v>
      </c>
      <c r="B11" s="10" t="s">
        <v>215</v>
      </c>
      <c r="C11" s="10" t="s">
        <v>337</v>
      </c>
      <c r="D11" s="10" t="n">
        <f aca="false">IFERROR(INDEX(Ontwikkelstappen!$C$5:$C$504,MATCH($C11,Ontwikkelstappen!$A$5:$A$504,0)),"")</f>
        <v>7</v>
      </c>
      <c r="E11" s="10" t="str">
        <f aca="false">IFERROR(INDEX(Ontwikkelstappen!$D$5:$D$504,MATCH($C11,Ontwikkelstappen!$A$5:$A$504,0)),"")</f>
        <v>Eerste gesprek netbeheerder</v>
      </c>
      <c r="F11" s="10" t="str">
        <f aca="false">IFERROR(INDEX(Ontwikkelstappen!$E$5:$E$504,MATCH($C11,Ontwikkelstappen!$A$5:$A$504,0)),"")</f>
        <v>Net en congestie</v>
      </c>
      <c r="G11" s="10" t="s">
        <v>106</v>
      </c>
      <c r="H11" s="11"/>
      <c r="I11" s="11"/>
      <c r="J11" s="11"/>
      <c r="K11" s="10" t="s">
        <v>83</v>
      </c>
      <c r="L11" s="10" t="n">
        <f aca="false">IF($D11="",9999,IF(OR($G11="Gereed",$G11="Niet van toepassing"),9999,$D11))</f>
        <v>9999</v>
      </c>
      <c r="M11" s="10" t="str">
        <f aca="false">IF($B11="","",$B11&amp;"|"&amp;TEXT($D11,"00"))</f>
        <v>LEAD-001|07</v>
      </c>
      <c r="N11" s="14"/>
    </row>
    <row r="12" customFormat="false" ht="15" hidden="false" customHeight="false" outlineLevel="0" collapsed="false">
      <c r="A12" s="10" t="s">
        <v>448</v>
      </c>
      <c r="B12" s="10" t="s">
        <v>215</v>
      </c>
      <c r="C12" s="10" t="s">
        <v>340</v>
      </c>
      <c r="D12" s="10" t="n">
        <f aca="false">IFERROR(INDEX(Ontwikkelstappen!$C$5:$C$504,MATCH($C12,Ontwikkelstappen!$A$5:$A$504,0)),"")</f>
        <v>8</v>
      </c>
      <c r="E12" s="10" t="str">
        <f aca="false">IFERROR(INDEX(Ontwikkelstappen!$D$5:$D$504,MATCH($C12,Ontwikkelstappen!$A$5:$A$504,0)),"")</f>
        <v>Routekeuze-scan vier routes</v>
      </c>
      <c r="F12" s="10" t="str">
        <f aca="false">IFERROR(INDEX(Ontwikkelstappen!$E$5:$E$504,MATCH($C12,Ontwikkelstappen!$A$5:$A$504,0)),"")</f>
        <v>Commercieel</v>
      </c>
      <c r="G12" s="10" t="s">
        <v>73</v>
      </c>
      <c r="H12" s="11"/>
      <c r="I12" s="11"/>
      <c r="J12" s="11"/>
      <c r="K12" s="10" t="s">
        <v>83</v>
      </c>
      <c r="L12" s="10" t="n">
        <f aca="false">IF($D12="",9999,IF(OR($G12="Gereed",$G12="Niet van toepassing"),9999,$D12))</f>
        <v>8</v>
      </c>
      <c r="M12" s="10" t="str">
        <f aca="false">IF($B12="","",$B12&amp;"|"&amp;TEXT($D12,"00"))</f>
        <v>LEAD-001|08</v>
      </c>
      <c r="N12" s="14"/>
    </row>
    <row r="13" customFormat="false" ht="15" hidden="false" customHeight="false" outlineLevel="0" collapsed="false">
      <c r="A13" s="10" t="s">
        <v>449</v>
      </c>
      <c r="B13" s="10" t="s">
        <v>215</v>
      </c>
      <c r="C13" s="10" t="s">
        <v>343</v>
      </c>
      <c r="D13" s="10" t="n">
        <f aca="false">IFERROR(INDEX(Ontwikkelstappen!$C$5:$C$504,MATCH($C13,Ontwikkelstappen!$A$5:$A$504,0)),"")</f>
        <v>9</v>
      </c>
      <c r="E13" s="10" t="str">
        <f aca="false">IFERROR(INDEX(Ontwikkelstappen!$D$5:$D$504,MATCH($C13,Ontwikkelstappen!$A$5:$A$504,0)),"")</f>
        <v>Propositie uitgebracht</v>
      </c>
      <c r="F13" s="10" t="str">
        <f aca="false">IFERROR(INDEX(Ontwikkelstappen!$E$5:$E$504,MATCH($C13,Ontwikkelstappen!$A$5:$A$504,0)),"")</f>
        <v>Commercieel</v>
      </c>
      <c r="G13" s="10" t="s">
        <v>106</v>
      </c>
      <c r="H13" s="11"/>
      <c r="I13" s="11"/>
      <c r="J13" s="11"/>
      <c r="K13" s="10" t="s">
        <v>83</v>
      </c>
      <c r="L13" s="10" t="n">
        <f aca="false">IF($D13="",9999,IF(OR($G13="Gereed",$G13="Niet van toepassing"),9999,$D13))</f>
        <v>9999</v>
      </c>
      <c r="M13" s="10" t="str">
        <f aca="false">IF($B13="","",$B13&amp;"|"&amp;TEXT($D13,"00"))</f>
        <v>LEAD-001|09</v>
      </c>
      <c r="N13" s="14"/>
    </row>
    <row r="14" customFormat="false" ht="15" hidden="false" customHeight="false" outlineLevel="0" collapsed="false">
      <c r="A14" s="10" t="s">
        <v>450</v>
      </c>
      <c r="B14" s="10" t="s">
        <v>215</v>
      </c>
      <c r="C14" s="10" t="s">
        <v>345</v>
      </c>
      <c r="D14" s="10" t="n">
        <f aca="false">IFERROR(INDEX(Ontwikkelstappen!$C$5:$C$504,MATCH($C14,Ontwikkelstappen!$A$5:$A$504,0)),"")</f>
        <v>10</v>
      </c>
      <c r="E14" s="10" t="str">
        <f aca="false">IFERROR(INDEX(Ontwikkelstappen!$D$5:$D$504,MATCH($C14,Ontwikkelstappen!$A$5:$A$504,0)),"")</f>
        <v>Opdrachtbevestiging Engine 1</v>
      </c>
      <c r="F14" s="10" t="str">
        <f aca="false">IFERROR(INDEX(Ontwikkelstappen!$E$5:$E$504,MATCH($C14,Ontwikkelstappen!$A$5:$A$504,0)),"")</f>
        <v>Juridisch</v>
      </c>
      <c r="G14" s="10" t="s">
        <v>106</v>
      </c>
      <c r="H14" s="11"/>
      <c r="I14" s="11"/>
      <c r="J14" s="11"/>
      <c r="K14" s="10" t="s">
        <v>83</v>
      </c>
      <c r="L14" s="10" t="n">
        <f aca="false">IF($D14="",9999,IF(OR($G14="Gereed",$G14="Niet van toepassing"),9999,$D14))</f>
        <v>9999</v>
      </c>
      <c r="M14" s="10" t="str">
        <f aca="false">IF($B14="","",$B14&amp;"|"&amp;TEXT($D14,"00"))</f>
        <v>LEAD-001|10</v>
      </c>
      <c r="N14" s="14"/>
    </row>
    <row r="15" customFormat="false" ht="15" hidden="false" customHeight="false" outlineLevel="0" collapsed="false">
      <c r="A15" s="10" t="s">
        <v>451</v>
      </c>
      <c r="B15" s="10" t="s">
        <v>215</v>
      </c>
      <c r="C15" s="10" t="s">
        <v>348</v>
      </c>
      <c r="D15" s="10" t="n">
        <f aca="false">IFERROR(INDEX(Ontwikkelstappen!$C$5:$C$504,MATCH($C15,Ontwikkelstappen!$A$5:$A$504,0)),"")</f>
        <v>11</v>
      </c>
      <c r="E15" s="10" t="str">
        <f aca="false">IFERROR(INDEX(Ontwikkelstappen!$D$5:$D$504,MATCH($C15,Ontwikkelstappen!$A$5:$A$504,0)),"")</f>
        <v>Systeemconcept twee stromen</v>
      </c>
      <c r="F15" s="10" t="str">
        <f aca="false">IFERROR(INDEX(Ontwikkelstappen!$E$5:$E$504,MATCH($C15,Ontwikkelstappen!$A$5:$A$504,0)),"")</f>
        <v>Techniek</v>
      </c>
      <c r="G15" s="10" t="s">
        <v>73</v>
      </c>
      <c r="H15" s="11"/>
      <c r="I15" s="11"/>
      <c r="J15" s="11"/>
      <c r="K15" s="10" t="s">
        <v>83</v>
      </c>
      <c r="L15" s="10" t="n">
        <f aca="false">IF($D15="",9999,IF(OR($G15="Gereed",$G15="Niet van toepassing"),9999,$D15))</f>
        <v>11</v>
      </c>
      <c r="M15" s="10" t="str">
        <f aca="false">IF($B15="","",$B15&amp;"|"&amp;TEXT($D15,"00"))</f>
        <v>LEAD-001|11</v>
      </c>
      <c r="N15" s="14"/>
    </row>
    <row r="16" customFormat="false" ht="15" hidden="false" customHeight="false" outlineLevel="0" collapsed="false">
      <c r="A16" s="10" t="s">
        <v>452</v>
      </c>
      <c r="B16" s="10" t="s">
        <v>215</v>
      </c>
      <c r="C16" s="10" t="s">
        <v>351</v>
      </c>
      <c r="D16" s="10" t="n">
        <f aca="false">IFERROR(INDEX(Ontwikkelstappen!$C$5:$C$504,MATCH($C16,Ontwikkelstappen!$A$5:$A$504,0)),"")</f>
        <v>12</v>
      </c>
      <c r="E16" s="10" t="str">
        <f aca="false">IFERROR(INDEX(Ontwikkelstappen!$D$5:$D$504,MATCH($C16,Ontwikkelstappen!$A$5:$A$504,0)),"")</f>
        <v>Businesscase eerste orde</v>
      </c>
      <c r="F16" s="10" t="str">
        <f aca="false">IFERROR(INDEX(Ontwikkelstappen!$E$5:$E$504,MATCH($C16,Ontwikkelstappen!$A$5:$A$504,0)),"")</f>
        <v>Financieel</v>
      </c>
      <c r="G16" s="10" t="s">
        <v>73</v>
      </c>
      <c r="H16" s="11"/>
      <c r="I16" s="11"/>
      <c r="J16" s="11"/>
      <c r="K16" s="10" t="s">
        <v>83</v>
      </c>
      <c r="L16" s="10" t="n">
        <f aca="false">IF($D16="",9999,IF(OR($G16="Gereed",$G16="Niet van toepassing"),9999,$D16))</f>
        <v>12</v>
      </c>
      <c r="M16" s="10" t="str">
        <f aca="false">IF($B16="","",$B16&amp;"|"&amp;TEXT($D16,"00"))</f>
        <v>LEAD-001|12</v>
      </c>
      <c r="N16" s="14"/>
    </row>
    <row r="17" customFormat="false" ht="15" hidden="false" customHeight="false" outlineLevel="0" collapsed="false">
      <c r="A17" s="10" t="s">
        <v>453</v>
      </c>
      <c r="B17" s="10" t="s">
        <v>215</v>
      </c>
      <c r="C17" s="10" t="s">
        <v>354</v>
      </c>
      <c r="D17" s="10" t="n">
        <f aca="false">IFERROR(INDEX(Ontwikkelstappen!$C$5:$C$504,MATCH($C17,Ontwikkelstappen!$A$5:$A$504,0)),"")</f>
        <v>13</v>
      </c>
      <c r="E17" s="10" t="str">
        <f aca="false">IFERROR(INDEX(Ontwikkelstappen!$D$5:$D$504,MATCH($C17,Ontwikkelstappen!$A$5:$A$504,0)),"")</f>
        <v>Contractstructuur GTO of groeps-CSC</v>
      </c>
      <c r="F17" s="10" t="str">
        <f aca="false">IFERROR(INDEX(Ontwikkelstappen!$E$5:$E$504,MATCH($C17,Ontwikkelstappen!$A$5:$A$504,0)),"")</f>
        <v>Juridisch</v>
      </c>
      <c r="G17" s="10" t="s">
        <v>73</v>
      </c>
      <c r="H17" s="11"/>
      <c r="I17" s="11"/>
      <c r="J17" s="11"/>
      <c r="K17" s="10" t="s">
        <v>83</v>
      </c>
      <c r="L17" s="10" t="n">
        <f aca="false">IF($D17="",9999,IF(OR($G17="Gereed",$G17="Niet van toepassing"),9999,$D17))</f>
        <v>13</v>
      </c>
      <c r="M17" s="10" t="str">
        <f aca="false">IF($B17="","",$B17&amp;"|"&amp;TEXT($D17,"00"))</f>
        <v>LEAD-001|13</v>
      </c>
      <c r="N17" s="14"/>
    </row>
    <row r="18" customFormat="false" ht="15" hidden="false" customHeight="false" outlineLevel="0" collapsed="false">
      <c r="A18" s="10" t="s">
        <v>454</v>
      </c>
      <c r="B18" s="10" t="s">
        <v>215</v>
      </c>
      <c r="C18" s="10" t="s">
        <v>357</v>
      </c>
      <c r="D18" s="10" t="n">
        <f aca="false">IFERROR(INDEX(Ontwikkelstappen!$C$5:$C$504,MATCH($C18,Ontwikkelstappen!$A$5:$A$504,0)),"")</f>
        <v>14</v>
      </c>
      <c r="E18" s="10" t="str">
        <f aca="false">IFERROR(INDEX(Ontwikkelstappen!$D$5:$D$504,MATCH($C18,Ontwikkelstappen!$A$5:$A$504,0)),"")</f>
        <v>Samenwerkings- of intentieovereenkomst</v>
      </c>
      <c r="F18" s="10" t="str">
        <f aca="false">IFERROR(INDEX(Ontwikkelstappen!$E$5:$E$504,MATCH($C18,Ontwikkelstappen!$A$5:$A$504,0)),"")</f>
        <v>Juridisch</v>
      </c>
      <c r="G18" s="10" t="s">
        <v>73</v>
      </c>
      <c r="H18" s="11"/>
      <c r="I18" s="11"/>
      <c r="J18" s="11"/>
      <c r="K18" s="10" t="s">
        <v>83</v>
      </c>
      <c r="L18" s="10" t="n">
        <f aca="false">IF($D18="",9999,IF(OR($G18="Gereed",$G18="Niet van toepassing"),9999,$D18))</f>
        <v>14</v>
      </c>
      <c r="M18" s="10" t="str">
        <f aca="false">IF($B18="","",$B18&amp;"|"&amp;TEXT($D18,"00"))</f>
        <v>LEAD-001|14</v>
      </c>
      <c r="N18" s="14"/>
    </row>
    <row r="19" customFormat="false" ht="15" hidden="false" customHeight="false" outlineLevel="0" collapsed="false">
      <c r="A19" s="10" t="s">
        <v>455</v>
      </c>
      <c r="B19" s="10" t="s">
        <v>215</v>
      </c>
      <c r="C19" s="10" t="s">
        <v>360</v>
      </c>
      <c r="D19" s="10" t="n">
        <f aca="false">IFERROR(INDEX(Ontwikkelstappen!$C$5:$C$504,MATCH($C19,Ontwikkelstappen!$A$5:$A$504,0)),"")</f>
        <v>15</v>
      </c>
      <c r="E19" s="10" t="str">
        <f aca="false">IFERROR(INDEX(Ontwikkelstappen!$D$5:$D$504,MATCH($C19,Ontwikkelstappen!$A$5:$A$504,0)),"")</f>
        <v>Definitief systeemontwerp</v>
      </c>
      <c r="F19" s="10" t="str">
        <f aca="false">IFERROR(INDEX(Ontwikkelstappen!$E$5:$E$504,MATCH($C19,Ontwikkelstappen!$A$5:$A$504,0)),"")</f>
        <v>Techniek</v>
      </c>
      <c r="G19" s="10" t="s">
        <v>73</v>
      </c>
      <c r="H19" s="11"/>
      <c r="I19" s="11"/>
      <c r="J19" s="11"/>
      <c r="K19" s="10" t="s">
        <v>83</v>
      </c>
      <c r="L19" s="10" t="n">
        <f aca="false">IF($D19="",9999,IF(OR($G19="Gereed",$G19="Niet van toepassing"),9999,$D19))</f>
        <v>15</v>
      </c>
      <c r="M19" s="10" t="str">
        <f aca="false">IF($B19="","",$B19&amp;"|"&amp;TEXT($D19,"00"))</f>
        <v>LEAD-001|15</v>
      </c>
      <c r="N19" s="14"/>
    </row>
    <row r="20" customFormat="false" ht="15" hidden="false" customHeight="false" outlineLevel="0" collapsed="false">
      <c r="A20" s="10" t="s">
        <v>456</v>
      </c>
      <c r="B20" s="10" t="s">
        <v>215</v>
      </c>
      <c r="C20" s="10" t="s">
        <v>363</v>
      </c>
      <c r="D20" s="10" t="n">
        <f aca="false">IFERROR(INDEX(Ontwikkelstappen!$C$5:$C$504,MATCH($C20,Ontwikkelstappen!$A$5:$A$504,0)),"")</f>
        <v>16</v>
      </c>
      <c r="E20" s="10" t="str">
        <f aca="false">IFERROR(INDEX(Ontwikkelstappen!$D$5:$D$504,MATCH($C20,Ontwikkelstappen!$A$5:$A$504,0)),"")</f>
        <v>Vergunningen en ruimtelijke inpassing</v>
      </c>
      <c r="F20" s="10" t="str">
        <f aca="false">IFERROR(INDEX(Ontwikkelstappen!$E$5:$E$504,MATCH($C20,Ontwikkelstappen!$A$5:$A$504,0)),"")</f>
        <v>Vergunningen</v>
      </c>
      <c r="G20" s="10" t="s">
        <v>73</v>
      </c>
      <c r="H20" s="11"/>
      <c r="I20" s="11"/>
      <c r="J20" s="11"/>
      <c r="K20" s="10" t="s">
        <v>83</v>
      </c>
      <c r="L20" s="10" t="n">
        <f aca="false">IF($D20="",9999,IF(OR($G20="Gereed",$G20="Niet van toepassing"),9999,$D20))</f>
        <v>16</v>
      </c>
      <c r="M20" s="10" t="str">
        <f aca="false">IF($B20="","",$B20&amp;"|"&amp;TEXT($D20,"00"))</f>
        <v>LEAD-001|16</v>
      </c>
      <c r="N20" s="14"/>
    </row>
    <row r="21" customFormat="false" ht="15" hidden="false" customHeight="false" outlineLevel="0" collapsed="false">
      <c r="A21" s="10" t="s">
        <v>457</v>
      </c>
      <c r="B21" s="10" t="s">
        <v>215</v>
      </c>
      <c r="C21" s="10" t="s">
        <v>366</v>
      </c>
      <c r="D21" s="10" t="n">
        <f aca="false">IFERROR(INDEX(Ontwikkelstappen!$C$5:$C$504,MATCH($C21,Ontwikkelstappen!$A$5:$A$504,0)),"")</f>
        <v>17</v>
      </c>
      <c r="E21" s="10" t="str">
        <f aca="false">IFERROR(INDEX(Ontwikkelstappen!$D$5:$D$504,MATCH($C21,Ontwikkelstappen!$A$5:$A$504,0)),"")</f>
        <v>Technologie-agnostische uitvraag</v>
      </c>
      <c r="F21" s="10" t="str">
        <f aca="false">IFERROR(INDEX(Ontwikkelstappen!$E$5:$E$504,MATCH($C21,Ontwikkelstappen!$A$5:$A$504,0)),"")</f>
        <v>Commercieel</v>
      </c>
      <c r="G21" s="10" t="s">
        <v>73</v>
      </c>
      <c r="H21" s="11"/>
      <c r="I21" s="11"/>
      <c r="J21" s="11"/>
      <c r="K21" s="10" t="s">
        <v>83</v>
      </c>
      <c r="L21" s="10" t="n">
        <f aca="false">IF($D21="",9999,IF(OR($G21="Gereed",$G21="Niet van toepassing"),9999,$D21))</f>
        <v>17</v>
      </c>
      <c r="M21" s="10" t="str">
        <f aca="false">IF($B21="","",$B21&amp;"|"&amp;TEXT($D21,"00"))</f>
        <v>LEAD-001|17</v>
      </c>
      <c r="N21" s="14"/>
    </row>
    <row r="22" customFormat="false" ht="15" hidden="false" customHeight="false" outlineLevel="0" collapsed="false">
      <c r="A22" s="10" t="s">
        <v>458</v>
      </c>
      <c r="B22" s="10" t="s">
        <v>215</v>
      </c>
      <c r="C22" s="10" t="s">
        <v>369</v>
      </c>
      <c r="D22" s="10" t="n">
        <f aca="false">IFERROR(INDEX(Ontwikkelstappen!$C$5:$C$504,MATCH($C22,Ontwikkelstappen!$A$5:$A$504,0)),"")</f>
        <v>18</v>
      </c>
      <c r="E22" s="10" t="str">
        <f aca="false">IFERROR(INDEX(Ontwikkelstappen!$D$5:$D$504,MATCH($C22,Ontwikkelstappen!$A$5:$A$504,0)),"")</f>
        <v>EPC-selectie en netcontractering</v>
      </c>
      <c r="F22" s="10" t="str">
        <f aca="false">IFERROR(INDEX(Ontwikkelstappen!$E$5:$E$504,MATCH($C22,Ontwikkelstappen!$A$5:$A$504,0)),"")</f>
        <v>Net en congestie</v>
      </c>
      <c r="G22" s="10" t="s">
        <v>73</v>
      </c>
      <c r="H22" s="11"/>
      <c r="I22" s="11"/>
      <c r="J22" s="11"/>
      <c r="K22" s="10" t="s">
        <v>83</v>
      </c>
      <c r="L22" s="10" t="n">
        <f aca="false">IF($D22="",9999,IF(OR($G22="Gereed",$G22="Niet van toepassing"),9999,$D22))</f>
        <v>18</v>
      </c>
      <c r="M22" s="10" t="str">
        <f aca="false">IF($B22="","",$B22&amp;"|"&amp;TEXT($D22,"00"))</f>
        <v>LEAD-001|18</v>
      </c>
      <c r="N22" s="14"/>
    </row>
    <row r="23" customFormat="false" ht="15" hidden="false" customHeight="false" outlineLevel="0" collapsed="false">
      <c r="A23" s="10" t="s">
        <v>459</v>
      </c>
      <c r="B23" s="10" t="s">
        <v>215</v>
      </c>
      <c r="C23" s="10" t="s">
        <v>372</v>
      </c>
      <c r="D23" s="10" t="n">
        <f aca="false">IFERROR(INDEX(Ontwikkelstappen!$C$5:$C$504,MATCH($C23,Ontwikkelstappen!$A$5:$A$504,0)),"")</f>
        <v>19</v>
      </c>
      <c r="E23" s="10" t="str">
        <f aca="false">IFERROR(INDEX(Ontwikkelstappen!$D$5:$D$504,MATCH($C23,Ontwikkelstappen!$A$5:$A$504,0)),"")</f>
        <v>Investeringsbesluit en Ready-to-Build</v>
      </c>
      <c r="F23" s="10" t="str">
        <f aca="false">IFERROR(INDEX(Ontwikkelstappen!$E$5:$E$504,MATCH($C23,Ontwikkelstappen!$A$5:$A$504,0)),"")</f>
        <v>Governance</v>
      </c>
      <c r="G23" s="10" t="s">
        <v>73</v>
      </c>
      <c r="H23" s="11"/>
      <c r="I23" s="11"/>
      <c r="J23" s="11"/>
      <c r="K23" s="10" t="s">
        <v>83</v>
      </c>
      <c r="L23" s="10" t="n">
        <f aca="false">IF($D23="",9999,IF(OR($G23="Gereed",$G23="Niet van toepassing"),9999,$D23))</f>
        <v>19</v>
      </c>
      <c r="M23" s="10" t="str">
        <f aca="false">IF($B23="","",$B23&amp;"|"&amp;TEXT($D23,"00"))</f>
        <v>LEAD-001|19</v>
      </c>
      <c r="N23" s="14"/>
    </row>
    <row r="24" customFormat="false" ht="15" hidden="false" customHeight="false" outlineLevel="0" collapsed="false">
      <c r="A24" s="10" t="s">
        <v>460</v>
      </c>
      <c r="B24" s="10" t="s">
        <v>215</v>
      </c>
      <c r="C24" s="10" t="s">
        <v>375</v>
      </c>
      <c r="D24" s="10" t="n">
        <f aca="false">IFERROR(INDEX(Ontwikkelstappen!$C$5:$C$504,MATCH($C24,Ontwikkelstappen!$A$5:$A$504,0)),"")</f>
        <v>20</v>
      </c>
      <c r="E24" s="10" t="str">
        <f aca="false">IFERROR(INDEX(Ontwikkelstappen!$D$5:$D$504,MATCH($C24,Ontwikkelstappen!$A$5:$A$504,0)),"")</f>
        <v>Assetmanagement-overeenkomst</v>
      </c>
      <c r="F24" s="10" t="str">
        <f aca="false">IFERROR(INDEX(Ontwikkelstappen!$E$5:$E$504,MATCH($C24,Ontwikkelstappen!$A$5:$A$504,0)),"")</f>
        <v>Governance</v>
      </c>
      <c r="G24" s="10" t="s">
        <v>73</v>
      </c>
      <c r="H24" s="11"/>
      <c r="I24" s="11"/>
      <c r="J24" s="11"/>
      <c r="K24" s="10" t="s">
        <v>83</v>
      </c>
      <c r="L24" s="10" t="n">
        <f aca="false">IF($D24="",9999,IF(OR($G24="Gereed",$G24="Niet van toepassing"),9999,$D24))</f>
        <v>20</v>
      </c>
      <c r="M24" s="10" t="str">
        <f aca="false">IF($B24="","",$B24&amp;"|"&amp;TEXT($D24,"00"))</f>
        <v>LEAD-001|20</v>
      </c>
      <c r="N24" s="14"/>
    </row>
    <row r="25" customFormat="false" ht="15" hidden="false" customHeight="false" outlineLevel="0" collapsed="false">
      <c r="A25" s="10" t="s">
        <v>461</v>
      </c>
      <c r="B25" s="10" t="s">
        <v>223</v>
      </c>
      <c r="C25" s="10" t="s">
        <v>377</v>
      </c>
      <c r="D25" s="10" t="n">
        <f aca="false">IFERROR(INDEX(Ontwikkelstappen!$C$5:$C$504,MATCH($C25,Ontwikkelstappen!$A$5:$A$504,0)),"")</f>
        <v>1</v>
      </c>
      <c r="E25" s="10" t="str">
        <f aca="false">IFERROR(INDEX(Ontwikkelstappen!$D$5:$D$504,MATCH($C25,Ontwikkelstappen!$A$5:$A$504,0)),"")</f>
        <v>Hub-initiatief gekwalificeerd</v>
      </c>
      <c r="F25" s="10" t="str">
        <f aca="false">IFERROR(INDEX(Ontwikkelstappen!$E$5:$E$504,MATCH($C25,Ontwikkelstappen!$A$5:$A$504,0)),"")</f>
        <v>Commercieel</v>
      </c>
      <c r="G25" s="10" t="s">
        <v>106</v>
      </c>
      <c r="H25" s="11"/>
      <c r="I25" s="11"/>
      <c r="J25" s="11"/>
      <c r="K25" s="10" t="s">
        <v>83</v>
      </c>
      <c r="L25" s="10" t="n">
        <f aca="false">IF($D25="",9999,IF(OR($G25="Gereed",$G25="Niet van toepassing"),9999,$D25))</f>
        <v>9999</v>
      </c>
      <c r="M25" s="10" t="str">
        <f aca="false">IF($B25="","",$B25&amp;"|"&amp;TEXT($D25,"00"))</f>
        <v>LEAD-002|01</v>
      </c>
      <c r="N25" s="14"/>
    </row>
    <row r="26" customFormat="false" ht="15" hidden="false" customHeight="false" outlineLevel="0" collapsed="false">
      <c r="A26" s="10" t="s">
        <v>462</v>
      </c>
      <c r="B26" s="10" t="s">
        <v>223</v>
      </c>
      <c r="C26" s="10" t="s">
        <v>380</v>
      </c>
      <c r="D26" s="10" t="n">
        <f aca="false">IFERROR(INDEX(Ontwikkelstappen!$C$5:$C$504,MATCH($C26,Ontwikkelstappen!$A$5:$A$504,0)),"")</f>
        <v>2</v>
      </c>
      <c r="E26" s="10" t="str">
        <f aca="false">IFERROR(INDEX(Ontwikkelstappen!$D$5:$D$504,MATCH($C26,Ontwikkelstappen!$A$5:$A$504,0)),"")</f>
        <v>Kartrekker en deelnemers in beeld</v>
      </c>
      <c r="F26" s="10" t="str">
        <f aca="false">IFERROR(INDEX(Ontwikkelstappen!$E$5:$E$504,MATCH($C26,Ontwikkelstappen!$A$5:$A$504,0)),"")</f>
        <v>Commercieel</v>
      </c>
      <c r="G26" s="10" t="s">
        <v>90</v>
      </c>
      <c r="H26" s="11"/>
      <c r="I26" s="11"/>
      <c r="J26" s="11"/>
      <c r="K26" s="10" t="s">
        <v>83</v>
      </c>
      <c r="L26" s="10" t="n">
        <f aca="false">IF($D26="",9999,IF(OR($G26="Gereed",$G26="Niet van toepassing"),9999,$D26))</f>
        <v>2</v>
      </c>
      <c r="M26" s="10" t="str">
        <f aca="false">IF($B26="","",$B26&amp;"|"&amp;TEXT($D26,"00"))</f>
        <v>LEAD-002|02</v>
      </c>
      <c r="N26" s="14"/>
    </row>
    <row r="27" customFormat="false" ht="15" hidden="false" customHeight="false" outlineLevel="0" collapsed="false">
      <c r="A27" s="10" t="s">
        <v>463</v>
      </c>
      <c r="B27" s="10" t="s">
        <v>223</v>
      </c>
      <c r="C27" s="10" t="s">
        <v>383</v>
      </c>
      <c r="D27" s="10" t="n">
        <f aca="false">IFERROR(INDEX(Ontwikkelstappen!$C$5:$C$504,MATCH($C27,Ontwikkelstappen!$A$5:$A$504,0)),"")</f>
        <v>3</v>
      </c>
      <c r="E27" s="10" t="str">
        <f aca="false">IFERROR(INDEX(Ontwikkelstappen!$D$5:$D$504,MATCH($C27,Ontwikkelstappen!$A$5:$A$504,0)),"")</f>
        <v>NDA of deelnemersverklaring</v>
      </c>
      <c r="F27" s="10" t="str">
        <f aca="false">IFERROR(INDEX(Ontwikkelstappen!$E$5:$E$504,MATCH($C27,Ontwikkelstappen!$A$5:$A$504,0)),"")</f>
        <v>Juridisch</v>
      </c>
      <c r="G27" s="10" t="s">
        <v>73</v>
      </c>
      <c r="H27" s="11"/>
      <c r="I27" s="11"/>
      <c r="J27" s="11"/>
      <c r="K27" s="10" t="s">
        <v>83</v>
      </c>
      <c r="L27" s="10" t="n">
        <f aca="false">IF($D27="",9999,IF(OR($G27="Gereed",$G27="Niet van toepassing"),9999,$D27))</f>
        <v>3</v>
      </c>
      <c r="M27" s="10" t="str">
        <f aca="false">IF($B27="","",$B27&amp;"|"&amp;TEXT($D27,"00"))</f>
        <v>LEAD-002|03</v>
      </c>
      <c r="N27" s="14"/>
    </row>
    <row r="28" customFormat="false" ht="15" hidden="false" customHeight="false" outlineLevel="0" collapsed="false">
      <c r="A28" s="10" t="s">
        <v>464</v>
      </c>
      <c r="B28" s="10" t="s">
        <v>223</v>
      </c>
      <c r="C28" s="10" t="s">
        <v>310</v>
      </c>
      <c r="D28" s="10" t="n">
        <f aca="false">IFERROR(INDEX(Ontwikkelstappen!$C$5:$C$504,MATCH($C28,Ontwikkelstappen!$A$5:$A$504,0)),"")</f>
        <v>4</v>
      </c>
      <c r="E28" s="10" t="str">
        <f aca="false">IFERROR(INDEX(Ontwikkelstappen!$D$5:$D$504,MATCH($C28,Ontwikkelstappen!$A$5:$A$504,0)),"")</f>
        <v>Aansluit- en verbruiksdata ontvangen</v>
      </c>
      <c r="F28" s="10" t="str">
        <f aca="false">IFERROR(INDEX(Ontwikkelstappen!$E$5:$E$504,MATCH($C28,Ontwikkelstappen!$A$5:$A$504,0)),"")</f>
        <v>Commercieel</v>
      </c>
      <c r="G28" s="10" t="s">
        <v>90</v>
      </c>
      <c r="H28" s="11"/>
      <c r="I28" s="11"/>
      <c r="J28" s="11"/>
      <c r="K28" s="10" t="s">
        <v>83</v>
      </c>
      <c r="L28" s="10" t="n">
        <f aca="false">IF($D28="",9999,IF(OR($G28="Gereed",$G28="Niet van toepassing"),9999,$D28))</f>
        <v>4</v>
      </c>
      <c r="M28" s="10" t="str">
        <f aca="false">IF($B28="","",$B28&amp;"|"&amp;TEXT($D28,"00"))</f>
        <v>LEAD-002|04</v>
      </c>
      <c r="N28" s="14"/>
    </row>
    <row r="29" customFormat="false" ht="15" hidden="false" customHeight="false" outlineLevel="0" collapsed="false">
      <c r="A29" s="10" t="s">
        <v>465</v>
      </c>
      <c r="B29" s="10" t="s">
        <v>223</v>
      </c>
      <c r="C29" s="10" t="s">
        <v>388</v>
      </c>
      <c r="D29" s="10" t="n">
        <f aca="false">IFERROR(INDEX(Ontwikkelstappen!$C$5:$C$504,MATCH($C29,Ontwikkelstappen!$A$5:$A$504,0)),"")</f>
        <v>5</v>
      </c>
      <c r="E29" s="10" t="str">
        <f aca="false">IFERROR(INDEX(Ontwikkelstappen!$D$5:$D$504,MATCH($C29,Ontwikkelstappen!$A$5:$A$504,0)),"")</f>
        <v>Congestiestatus en wachtrijpositie</v>
      </c>
      <c r="F29" s="10" t="str">
        <f aca="false">IFERROR(INDEX(Ontwikkelstappen!$E$5:$E$504,MATCH($C29,Ontwikkelstappen!$A$5:$A$504,0)),"")</f>
        <v>Net en congestie</v>
      </c>
      <c r="G29" s="10" t="s">
        <v>73</v>
      </c>
      <c r="H29" s="11"/>
      <c r="I29" s="11"/>
      <c r="J29" s="11"/>
      <c r="K29" s="10" t="s">
        <v>83</v>
      </c>
      <c r="L29" s="10" t="n">
        <f aca="false">IF($D29="",9999,IF(OR($G29="Gereed",$G29="Niet van toepassing"),9999,$D29))</f>
        <v>5</v>
      </c>
      <c r="M29" s="10" t="str">
        <f aca="false">IF($B29="","",$B29&amp;"|"&amp;TEXT($D29,"00"))</f>
        <v>LEAD-002|05</v>
      </c>
      <c r="N29" s="14"/>
    </row>
    <row r="30" customFormat="false" ht="15" hidden="false" customHeight="false" outlineLevel="0" collapsed="false">
      <c r="A30" s="10" t="s">
        <v>466</v>
      </c>
      <c r="B30" s="10" t="s">
        <v>223</v>
      </c>
      <c r="C30" s="10" t="s">
        <v>391</v>
      </c>
      <c r="D30" s="10" t="n">
        <f aca="false">IFERROR(INDEX(Ontwikkelstappen!$C$5:$C$504,MATCH($C30,Ontwikkelstappen!$A$5:$A$504,0)),"")</f>
        <v>6</v>
      </c>
      <c r="E30" s="10" t="str">
        <f aca="false">IFERROR(INDEX(Ontwikkelstappen!$D$5:$D$504,MATCH($C30,Ontwikkelstappen!$A$5:$A$504,0)),"")</f>
        <v>Collectief vraag- en aanbodprofiel</v>
      </c>
      <c r="F30" s="10" t="str">
        <f aca="false">IFERROR(INDEX(Ontwikkelstappen!$E$5:$E$504,MATCH($C30,Ontwikkelstappen!$A$5:$A$504,0)),"")</f>
        <v>Techniek</v>
      </c>
      <c r="G30" s="10" t="s">
        <v>73</v>
      </c>
      <c r="H30" s="11"/>
      <c r="I30" s="11"/>
      <c r="J30" s="11"/>
      <c r="K30" s="10" t="s">
        <v>83</v>
      </c>
      <c r="L30" s="10" t="n">
        <f aca="false">IF($D30="",9999,IF(OR($G30="Gereed",$G30="Niet van toepassing"),9999,$D30))</f>
        <v>6</v>
      </c>
      <c r="M30" s="10" t="str">
        <f aca="false">IF($B30="","",$B30&amp;"|"&amp;TEXT($D30,"00"))</f>
        <v>LEAD-002|06</v>
      </c>
      <c r="N30" s="14"/>
    </row>
    <row r="31" customFormat="false" ht="15" hidden="false" customHeight="false" outlineLevel="0" collapsed="false">
      <c r="A31" s="10" t="s">
        <v>467</v>
      </c>
      <c r="B31" s="10" t="s">
        <v>223</v>
      </c>
      <c r="C31" s="10" t="s">
        <v>394</v>
      </c>
      <c r="D31" s="10" t="n">
        <f aca="false">IFERROR(INDEX(Ontwikkelstappen!$C$5:$C$504,MATCH($C31,Ontwikkelstappen!$A$5:$A$504,0)),"")</f>
        <v>7</v>
      </c>
      <c r="E31" s="10" t="str">
        <f aca="false">IFERROR(INDEX(Ontwikkelstappen!$D$5:$D$504,MATCH($C31,Ontwikkelstappen!$A$5:$A$504,0)),"")</f>
        <v>Gelijktijdigheid en flexpotentie</v>
      </c>
      <c r="F31" s="10" t="str">
        <f aca="false">IFERROR(INDEX(Ontwikkelstappen!$E$5:$E$504,MATCH($C31,Ontwikkelstappen!$A$5:$A$504,0)),"")</f>
        <v>Techniek</v>
      </c>
      <c r="G31" s="10" t="s">
        <v>73</v>
      </c>
      <c r="H31" s="11"/>
      <c r="I31" s="11"/>
      <c r="J31" s="11"/>
      <c r="K31" s="10" t="s">
        <v>83</v>
      </c>
      <c r="L31" s="10" t="n">
        <f aca="false">IF($D31="",9999,IF(OR($G31="Gereed",$G31="Niet van toepassing"),9999,$D31))</f>
        <v>7</v>
      </c>
      <c r="M31" s="10" t="str">
        <f aca="false">IF($B31="","",$B31&amp;"|"&amp;TEXT($D31,"00"))</f>
        <v>LEAD-002|07</v>
      </c>
      <c r="N31" s="14"/>
    </row>
    <row r="32" customFormat="false" ht="15" hidden="false" customHeight="false" outlineLevel="0" collapsed="false">
      <c r="A32" s="10" t="s">
        <v>468</v>
      </c>
      <c r="B32" s="10" t="s">
        <v>223</v>
      </c>
      <c r="C32" s="10" t="s">
        <v>397</v>
      </c>
      <c r="D32" s="10" t="n">
        <f aca="false">IFERROR(INDEX(Ontwikkelstappen!$C$5:$C$504,MATCH($C32,Ontwikkelstappen!$A$5:$A$504,0)),"")</f>
        <v>8</v>
      </c>
      <c r="E32" s="10" t="str">
        <f aca="false">IFERROR(INDEX(Ontwikkelstappen!$D$5:$D$504,MATCH($C32,Ontwikkelstappen!$A$5:$A$504,0)),"")</f>
        <v>Hubconcept en technische configuratie</v>
      </c>
      <c r="F32" s="10" t="str">
        <f aca="false">IFERROR(INDEX(Ontwikkelstappen!$E$5:$E$504,MATCH($C32,Ontwikkelstappen!$A$5:$A$504,0)),"")</f>
        <v>Techniek</v>
      </c>
      <c r="G32" s="10" t="s">
        <v>73</v>
      </c>
      <c r="H32" s="11"/>
      <c r="I32" s="11"/>
      <c r="J32" s="11"/>
      <c r="K32" s="10" t="s">
        <v>83</v>
      </c>
      <c r="L32" s="10" t="n">
        <f aca="false">IF($D32="",9999,IF(OR($G32="Gereed",$G32="Niet van toepassing"),9999,$D32))</f>
        <v>8</v>
      </c>
      <c r="M32" s="10" t="str">
        <f aca="false">IF($B32="","",$B32&amp;"|"&amp;TEXT($D32,"00"))</f>
        <v>LEAD-002|08</v>
      </c>
      <c r="N32" s="14"/>
    </row>
    <row r="33" customFormat="false" ht="15" hidden="false" customHeight="false" outlineLevel="0" collapsed="false">
      <c r="A33" s="10" t="s">
        <v>469</v>
      </c>
      <c r="B33" s="10" t="s">
        <v>223</v>
      </c>
      <c r="C33" s="10" t="s">
        <v>400</v>
      </c>
      <c r="D33" s="10" t="n">
        <f aca="false">IFERROR(INDEX(Ontwikkelstappen!$C$5:$C$504,MATCH($C33,Ontwikkelstappen!$A$5:$A$504,0)),"")</f>
        <v>9</v>
      </c>
      <c r="E33" s="10" t="str">
        <f aca="false">IFERROR(INDEX(Ontwikkelstappen!$D$5:$D$504,MATCH($C33,Ontwikkelstappen!$A$5:$A$504,0)),"")</f>
        <v>Juridische structuur GTO of groeps-CSC</v>
      </c>
      <c r="F33" s="10" t="str">
        <f aca="false">IFERROR(INDEX(Ontwikkelstappen!$E$5:$E$504,MATCH($C33,Ontwikkelstappen!$A$5:$A$504,0)),"")</f>
        <v>Juridisch</v>
      </c>
      <c r="G33" s="10" t="s">
        <v>73</v>
      </c>
      <c r="H33" s="11"/>
      <c r="I33" s="11"/>
      <c r="J33" s="11"/>
      <c r="K33" s="10" t="s">
        <v>83</v>
      </c>
      <c r="L33" s="10" t="n">
        <f aca="false">IF($D33="",9999,IF(OR($G33="Gereed",$G33="Niet van toepassing"),9999,$D33))</f>
        <v>9</v>
      </c>
      <c r="M33" s="10" t="str">
        <f aca="false">IF($B33="","",$B33&amp;"|"&amp;TEXT($D33,"00"))</f>
        <v>LEAD-002|09</v>
      </c>
      <c r="N33" s="14"/>
    </row>
    <row r="34" customFormat="false" ht="15" hidden="false" customHeight="false" outlineLevel="0" collapsed="false">
      <c r="A34" s="10" t="s">
        <v>470</v>
      </c>
      <c r="B34" s="10" t="s">
        <v>223</v>
      </c>
      <c r="C34" s="10" t="s">
        <v>403</v>
      </c>
      <c r="D34" s="10" t="n">
        <f aca="false">IFERROR(INDEX(Ontwikkelstappen!$C$5:$C$504,MATCH($C34,Ontwikkelstappen!$A$5:$A$504,0)),"")</f>
        <v>10</v>
      </c>
      <c r="E34" s="10" t="str">
        <f aca="false">IFERROR(INDEX(Ontwikkelstappen!$D$5:$D$504,MATCH($C34,Ontwikkelstappen!$A$5:$A$504,0)),"")</f>
        <v>Verdeelsleutel en governance</v>
      </c>
      <c r="F34" s="10" t="str">
        <f aca="false">IFERROR(INDEX(Ontwikkelstappen!$E$5:$E$504,MATCH($C34,Ontwikkelstappen!$A$5:$A$504,0)),"")</f>
        <v>Governance</v>
      </c>
      <c r="G34" s="10" t="s">
        <v>73</v>
      </c>
      <c r="H34" s="11"/>
      <c r="I34" s="11"/>
      <c r="J34" s="11"/>
      <c r="K34" s="10" t="s">
        <v>83</v>
      </c>
      <c r="L34" s="10" t="n">
        <f aca="false">IF($D34="",9999,IF(OR($G34="Gereed",$G34="Niet van toepassing"),9999,$D34))</f>
        <v>10</v>
      </c>
      <c r="M34" s="10" t="str">
        <f aca="false">IF($B34="","",$B34&amp;"|"&amp;TEXT($D34,"00"))</f>
        <v>LEAD-002|10</v>
      </c>
      <c r="N34" s="14"/>
    </row>
    <row r="35" customFormat="false" ht="15" hidden="false" customHeight="false" outlineLevel="0" collapsed="false">
      <c r="A35" s="10" t="s">
        <v>471</v>
      </c>
      <c r="B35" s="10" t="s">
        <v>223</v>
      </c>
      <c r="C35" s="10" t="s">
        <v>406</v>
      </c>
      <c r="D35" s="10" t="n">
        <f aca="false">IFERROR(INDEX(Ontwikkelstappen!$C$5:$C$504,MATCH($C35,Ontwikkelstappen!$A$5:$A$504,0)),"")</f>
        <v>11</v>
      </c>
      <c r="E35" s="10" t="str">
        <f aca="false">IFERROR(INDEX(Ontwikkelstappen!$D$5:$D$504,MATCH($C35,Ontwikkelstappen!$A$5:$A$504,0)),"")</f>
        <v>Collectieve businesscase</v>
      </c>
      <c r="F35" s="10" t="str">
        <f aca="false">IFERROR(INDEX(Ontwikkelstappen!$E$5:$E$504,MATCH($C35,Ontwikkelstappen!$A$5:$A$504,0)),"")</f>
        <v>Financieel</v>
      </c>
      <c r="G35" s="10" t="s">
        <v>73</v>
      </c>
      <c r="H35" s="11"/>
      <c r="I35" s="11"/>
      <c r="J35" s="11"/>
      <c r="K35" s="10" t="s">
        <v>83</v>
      </c>
      <c r="L35" s="10" t="n">
        <f aca="false">IF($D35="",9999,IF(OR($G35="Gereed",$G35="Niet van toepassing"),9999,$D35))</f>
        <v>11</v>
      </c>
      <c r="M35" s="10" t="str">
        <f aca="false">IF($B35="","",$B35&amp;"|"&amp;TEXT($D35,"00"))</f>
        <v>LEAD-002|11</v>
      </c>
      <c r="N35" s="14"/>
    </row>
    <row r="36" customFormat="false" ht="15" hidden="false" customHeight="false" outlineLevel="0" collapsed="false">
      <c r="A36" s="10" t="s">
        <v>472</v>
      </c>
      <c r="B36" s="10" t="s">
        <v>223</v>
      </c>
      <c r="C36" s="10" t="s">
        <v>409</v>
      </c>
      <c r="D36" s="10" t="n">
        <f aca="false">IFERROR(INDEX(Ontwikkelstappen!$C$5:$C$504,MATCH($C36,Ontwikkelstappen!$A$5:$A$504,0)),"")</f>
        <v>12</v>
      </c>
      <c r="E36" s="10" t="str">
        <f aca="false">IFERROR(INDEX(Ontwikkelstappen!$D$5:$D$504,MATCH($C36,Ontwikkelstappen!$A$5:$A$504,0)),"")</f>
        <v>Subsidie- en regelingencheck</v>
      </c>
      <c r="F36" s="10" t="str">
        <f aca="false">IFERROR(INDEX(Ontwikkelstappen!$E$5:$E$504,MATCH($C36,Ontwikkelstappen!$A$5:$A$504,0)),"")</f>
        <v>Financieel</v>
      </c>
      <c r="G36" s="10" t="s">
        <v>73</v>
      </c>
      <c r="H36" s="11"/>
      <c r="I36" s="11"/>
      <c r="J36" s="11"/>
      <c r="K36" s="10" t="s">
        <v>83</v>
      </c>
      <c r="L36" s="10" t="n">
        <f aca="false">IF($D36="",9999,IF(OR($G36="Gereed",$G36="Niet van toepassing"),9999,$D36))</f>
        <v>12</v>
      </c>
      <c r="M36" s="10" t="str">
        <f aca="false">IF($B36="","",$B36&amp;"|"&amp;TEXT($D36,"00"))</f>
        <v>LEAD-002|12</v>
      </c>
      <c r="N36" s="14"/>
    </row>
    <row r="37" customFormat="false" ht="15" hidden="false" customHeight="false" outlineLevel="0" collapsed="false">
      <c r="A37" s="10" t="s">
        <v>473</v>
      </c>
      <c r="B37" s="10" t="s">
        <v>223</v>
      </c>
      <c r="C37" s="10" t="s">
        <v>412</v>
      </c>
      <c r="D37" s="10" t="n">
        <f aca="false">IFERROR(INDEX(Ontwikkelstappen!$C$5:$C$504,MATCH($C37,Ontwikkelstappen!$A$5:$A$504,0)),"")</f>
        <v>13</v>
      </c>
      <c r="E37" s="10" t="str">
        <f aca="false">IFERROR(INDEX(Ontwikkelstappen!$D$5:$D$504,MATCH($C37,Ontwikkelstappen!$A$5:$A$504,0)),"")</f>
        <v>Propositie uitgebracht</v>
      </c>
      <c r="F37" s="10" t="str">
        <f aca="false">IFERROR(INDEX(Ontwikkelstappen!$E$5:$E$504,MATCH($C37,Ontwikkelstappen!$A$5:$A$504,0)),"")</f>
        <v>Commercieel</v>
      </c>
      <c r="G37" s="10" t="s">
        <v>73</v>
      </c>
      <c r="H37" s="11"/>
      <c r="I37" s="11"/>
      <c r="J37" s="11"/>
      <c r="K37" s="10" t="s">
        <v>83</v>
      </c>
      <c r="L37" s="10" t="n">
        <f aca="false">IF($D37="",9999,IF(OR($G37="Gereed",$G37="Niet van toepassing"),9999,$D37))</f>
        <v>13</v>
      </c>
      <c r="M37" s="10" t="str">
        <f aca="false">IF($B37="","",$B37&amp;"|"&amp;TEXT($D37,"00"))</f>
        <v>LEAD-002|13</v>
      </c>
      <c r="N37" s="14"/>
    </row>
    <row r="38" customFormat="false" ht="15" hidden="false" customHeight="false" outlineLevel="0" collapsed="false">
      <c r="A38" s="10" t="s">
        <v>474</v>
      </c>
      <c r="B38" s="10" t="s">
        <v>223</v>
      </c>
      <c r="C38" s="10" t="s">
        <v>414</v>
      </c>
      <c r="D38" s="10" t="n">
        <f aca="false">IFERROR(INDEX(Ontwikkelstappen!$C$5:$C$504,MATCH($C38,Ontwikkelstappen!$A$5:$A$504,0)),"")</f>
        <v>14</v>
      </c>
      <c r="E38" s="10" t="str">
        <f aca="false">IFERROR(INDEX(Ontwikkelstappen!$D$5:$D$504,MATCH($C38,Ontwikkelstappen!$A$5:$A$504,0)),"")</f>
        <v>Intentieverklaringen deelnemers</v>
      </c>
      <c r="F38" s="10" t="str">
        <f aca="false">IFERROR(INDEX(Ontwikkelstappen!$E$5:$E$504,MATCH($C38,Ontwikkelstappen!$A$5:$A$504,0)),"")</f>
        <v>Juridisch</v>
      </c>
      <c r="G38" s="10" t="s">
        <v>73</v>
      </c>
      <c r="H38" s="11"/>
      <c r="I38" s="11"/>
      <c r="J38" s="11"/>
      <c r="K38" s="10" t="s">
        <v>83</v>
      </c>
      <c r="L38" s="10" t="n">
        <f aca="false">IF($D38="",9999,IF(OR($G38="Gereed",$G38="Niet van toepassing"),9999,$D38))</f>
        <v>14</v>
      </c>
      <c r="M38" s="10" t="str">
        <f aca="false">IF($B38="","",$B38&amp;"|"&amp;TEXT($D38,"00"))</f>
        <v>LEAD-002|14</v>
      </c>
      <c r="N38" s="14"/>
    </row>
    <row r="39" customFormat="false" ht="15" hidden="false" customHeight="false" outlineLevel="0" collapsed="false">
      <c r="A39" s="10" t="s">
        <v>475</v>
      </c>
      <c r="B39" s="10" t="s">
        <v>223</v>
      </c>
      <c r="C39" s="10" t="s">
        <v>417</v>
      </c>
      <c r="D39" s="10" t="n">
        <f aca="false">IFERROR(INDEX(Ontwikkelstappen!$C$5:$C$504,MATCH($C39,Ontwikkelstappen!$A$5:$A$504,0)),"")</f>
        <v>15</v>
      </c>
      <c r="E39" s="10" t="str">
        <f aca="false">IFERROR(INDEX(Ontwikkelstappen!$D$5:$D$504,MATCH($C39,Ontwikkelstappen!$A$5:$A$504,0)),"")</f>
        <v>Samenwerkingsovereenkomst hub</v>
      </c>
      <c r="F39" s="10" t="str">
        <f aca="false">IFERROR(INDEX(Ontwikkelstappen!$E$5:$E$504,MATCH($C39,Ontwikkelstappen!$A$5:$A$504,0)),"")</f>
        <v>Juridisch</v>
      </c>
      <c r="G39" s="10" t="s">
        <v>73</v>
      </c>
      <c r="H39" s="11"/>
      <c r="I39" s="11"/>
      <c r="J39" s="11"/>
      <c r="K39" s="10" t="s">
        <v>83</v>
      </c>
      <c r="L39" s="10" t="n">
        <f aca="false">IF($D39="",9999,IF(OR($G39="Gereed",$G39="Niet van toepassing"),9999,$D39))</f>
        <v>15</v>
      </c>
      <c r="M39" s="10" t="str">
        <f aca="false">IF($B39="","",$B39&amp;"|"&amp;TEXT($D39,"00"))</f>
        <v>LEAD-002|15</v>
      </c>
      <c r="N39" s="14"/>
    </row>
    <row r="40" customFormat="false" ht="15" hidden="false" customHeight="false" outlineLevel="0" collapsed="false">
      <c r="A40" s="10" t="s">
        <v>476</v>
      </c>
      <c r="B40" s="10" t="s">
        <v>223</v>
      </c>
      <c r="C40" s="10" t="s">
        <v>420</v>
      </c>
      <c r="D40" s="10" t="n">
        <f aca="false">IFERROR(INDEX(Ontwikkelstappen!$C$5:$C$504,MATCH($C40,Ontwikkelstappen!$A$5:$A$504,0)),"")</f>
        <v>16</v>
      </c>
      <c r="E40" s="10" t="str">
        <f aca="false">IFERROR(INDEX(Ontwikkelstappen!$D$5:$D$504,MATCH($C40,Ontwikkelstappen!$A$5:$A$504,0)),"")</f>
        <v>Contractering netbeheerder</v>
      </c>
      <c r="F40" s="10" t="str">
        <f aca="false">IFERROR(INDEX(Ontwikkelstappen!$E$5:$E$504,MATCH($C40,Ontwikkelstappen!$A$5:$A$504,0)),"")</f>
        <v>Net en congestie</v>
      </c>
      <c r="G40" s="10" t="s">
        <v>73</v>
      </c>
      <c r="H40" s="11"/>
      <c r="I40" s="11"/>
      <c r="J40" s="11"/>
      <c r="K40" s="10" t="s">
        <v>83</v>
      </c>
      <c r="L40" s="10" t="n">
        <f aca="false">IF($D40="",9999,IF(OR($G40="Gereed",$G40="Niet van toepassing"),9999,$D40))</f>
        <v>16</v>
      </c>
      <c r="M40" s="10" t="str">
        <f aca="false">IF($B40="","",$B40&amp;"|"&amp;TEXT($D40,"00"))</f>
        <v>LEAD-002|16</v>
      </c>
      <c r="N40" s="14"/>
    </row>
    <row r="41" customFormat="false" ht="15" hidden="false" customHeight="false" outlineLevel="0" collapsed="false">
      <c r="A41" s="10" t="s">
        <v>477</v>
      </c>
      <c r="B41" s="10" t="s">
        <v>223</v>
      </c>
      <c r="C41" s="10" t="s">
        <v>423</v>
      </c>
      <c r="D41" s="10" t="n">
        <f aca="false">IFERROR(INDEX(Ontwikkelstappen!$C$5:$C$504,MATCH($C41,Ontwikkelstappen!$A$5:$A$504,0)),"")</f>
        <v>17</v>
      </c>
      <c r="E41" s="10" t="str">
        <f aca="false">IFERROR(INDEX(Ontwikkelstappen!$D$5:$D$504,MATCH($C41,Ontwikkelstappen!$A$5:$A$504,0)),"")</f>
        <v>Ontwerp en technologie-agnostische uitvraag</v>
      </c>
      <c r="F41" s="10" t="str">
        <f aca="false">IFERROR(INDEX(Ontwikkelstappen!$E$5:$E$504,MATCH($C41,Ontwikkelstappen!$A$5:$A$504,0)),"")</f>
        <v>Techniek</v>
      </c>
      <c r="G41" s="10" t="s">
        <v>73</v>
      </c>
      <c r="H41" s="11"/>
      <c r="I41" s="11"/>
      <c r="J41" s="11"/>
      <c r="K41" s="10" t="s">
        <v>83</v>
      </c>
      <c r="L41" s="10" t="n">
        <f aca="false">IF($D41="",9999,IF(OR($G41="Gereed",$G41="Niet van toepassing"),9999,$D41))</f>
        <v>17</v>
      </c>
      <c r="M41" s="10" t="str">
        <f aca="false">IF($B41="","",$B41&amp;"|"&amp;TEXT($D41,"00"))</f>
        <v>LEAD-002|17</v>
      </c>
      <c r="N41" s="14"/>
    </row>
    <row r="42" customFormat="false" ht="15" hidden="false" customHeight="false" outlineLevel="0" collapsed="false">
      <c r="A42" s="10" t="s">
        <v>478</v>
      </c>
      <c r="B42" s="10" t="s">
        <v>223</v>
      </c>
      <c r="C42" s="10" t="s">
        <v>426</v>
      </c>
      <c r="D42" s="10" t="n">
        <f aca="false">IFERROR(INDEX(Ontwikkelstappen!$C$5:$C$504,MATCH($C42,Ontwikkelstappen!$A$5:$A$504,0)),"")</f>
        <v>18</v>
      </c>
      <c r="E42" s="10" t="str">
        <f aca="false">IFERROR(INDEX(Ontwikkelstappen!$D$5:$D$504,MATCH($C42,Ontwikkelstappen!$A$5:$A$504,0)),"")</f>
        <v>Realisatiebesluit en FID</v>
      </c>
      <c r="F42" s="10" t="str">
        <f aca="false">IFERROR(INDEX(Ontwikkelstappen!$E$5:$E$504,MATCH($C42,Ontwikkelstappen!$A$5:$A$504,0)),"")</f>
        <v>Governance</v>
      </c>
      <c r="G42" s="10" t="s">
        <v>73</v>
      </c>
      <c r="H42" s="11"/>
      <c r="I42" s="11"/>
      <c r="J42" s="11"/>
      <c r="K42" s="10" t="s">
        <v>83</v>
      </c>
      <c r="L42" s="10" t="n">
        <f aca="false">IF($D42="",9999,IF(OR($G42="Gereed",$G42="Niet van toepassing"),9999,$D42))</f>
        <v>18</v>
      </c>
      <c r="M42" s="10" t="str">
        <f aca="false">IF($B42="","",$B42&amp;"|"&amp;TEXT($D42,"00"))</f>
        <v>LEAD-002|18</v>
      </c>
      <c r="N42" s="14"/>
    </row>
    <row r="43" customFormat="false" ht="15" hidden="false" customHeight="false" outlineLevel="0" collapsed="false">
      <c r="A43" s="10" t="s">
        <v>479</v>
      </c>
      <c r="B43" s="10" t="s">
        <v>223</v>
      </c>
      <c r="C43" s="10" t="s">
        <v>429</v>
      </c>
      <c r="D43" s="10" t="n">
        <f aca="false">IFERROR(INDEX(Ontwikkelstappen!$C$5:$C$504,MATCH($C43,Ontwikkelstappen!$A$5:$A$504,0)),"")</f>
        <v>19</v>
      </c>
      <c r="E43" s="10" t="str">
        <f aca="false">IFERROR(INDEX(Ontwikkelstappen!$D$5:$D$504,MATCH($C43,Ontwikkelstappen!$A$5:$A$504,0)),"")</f>
        <v>Exploitatie- en beheerovereenkomst</v>
      </c>
      <c r="F43" s="10" t="str">
        <f aca="false">IFERROR(INDEX(Ontwikkelstappen!$E$5:$E$504,MATCH($C43,Ontwikkelstappen!$A$5:$A$504,0)),"")</f>
        <v>Governance</v>
      </c>
      <c r="G43" s="10" t="s">
        <v>73</v>
      </c>
      <c r="H43" s="11"/>
      <c r="I43" s="11"/>
      <c r="J43" s="11"/>
      <c r="K43" s="10" t="s">
        <v>83</v>
      </c>
      <c r="L43" s="10" t="n">
        <f aca="false">IF($D43="",9999,IF(OR($G43="Gereed",$G43="Niet van toepassing"),9999,$D43))</f>
        <v>19</v>
      </c>
      <c r="M43" s="10" t="str">
        <f aca="false">IF($B43="","",$B43&amp;"|"&amp;TEXT($D43,"00"))</f>
        <v>LEAD-002|19</v>
      </c>
      <c r="N43" s="14"/>
    </row>
    <row r="44" customFormat="false" ht="15" hidden="false" customHeight="false" outlineLevel="0" collapsed="false">
      <c r="H44" s="15"/>
      <c r="I44" s="15"/>
      <c r="J44" s="15"/>
    </row>
    <row r="45" customFormat="false" ht="15" hidden="false" customHeight="false" outlineLevel="0" collapsed="false">
      <c r="H45" s="15"/>
      <c r="I45" s="15"/>
      <c r="J45" s="15"/>
    </row>
    <row r="46" customFormat="false" ht="15" hidden="false" customHeight="false" outlineLevel="0" collapsed="false">
      <c r="H46" s="15"/>
      <c r="I46" s="15"/>
      <c r="J46" s="15"/>
    </row>
    <row r="47" customFormat="false" ht="15" hidden="false" customHeight="false" outlineLevel="0" collapsed="false">
      <c r="H47" s="15"/>
      <c r="I47" s="15"/>
      <c r="J47" s="15"/>
    </row>
    <row r="48" customFormat="false" ht="15" hidden="false" customHeight="false" outlineLevel="0" collapsed="false">
      <c r="H48" s="15"/>
      <c r="I48" s="15"/>
      <c r="J48" s="15"/>
    </row>
    <row r="49" customFormat="false" ht="15" hidden="false" customHeight="false" outlineLevel="0" collapsed="false">
      <c r="H49" s="15"/>
      <c r="I49" s="15"/>
      <c r="J49" s="15"/>
    </row>
    <row r="50" customFormat="false" ht="15" hidden="false" customHeight="false" outlineLevel="0" collapsed="false">
      <c r="H50" s="15"/>
      <c r="I50" s="15"/>
      <c r="J50" s="15"/>
    </row>
    <row r="51" customFormat="false" ht="15" hidden="false" customHeight="false" outlineLevel="0" collapsed="false">
      <c r="H51" s="15"/>
      <c r="I51" s="15"/>
      <c r="J51" s="15"/>
    </row>
    <row r="52" customFormat="false" ht="15" hidden="false" customHeight="false" outlineLevel="0" collapsed="false">
      <c r="H52" s="15"/>
      <c r="I52" s="15"/>
      <c r="J52" s="15"/>
    </row>
    <row r="53" customFormat="false" ht="15" hidden="false" customHeight="false" outlineLevel="0" collapsed="false">
      <c r="H53" s="15"/>
      <c r="I53" s="15"/>
      <c r="J53" s="15"/>
    </row>
    <row r="54" customFormat="false" ht="15" hidden="false" customHeight="false" outlineLevel="0" collapsed="false">
      <c r="H54" s="15"/>
      <c r="I54" s="15"/>
      <c r="J54" s="15"/>
    </row>
    <row r="55" customFormat="false" ht="15" hidden="false" customHeight="false" outlineLevel="0" collapsed="false">
      <c r="H55" s="15"/>
      <c r="I55" s="15"/>
      <c r="J55" s="15"/>
    </row>
    <row r="56" customFormat="false" ht="15" hidden="false" customHeight="false" outlineLevel="0" collapsed="false">
      <c r="H56" s="15"/>
      <c r="I56" s="15"/>
      <c r="J56" s="15"/>
    </row>
    <row r="57" customFormat="false" ht="15" hidden="false" customHeight="false" outlineLevel="0" collapsed="false">
      <c r="H57" s="15"/>
      <c r="I57" s="15"/>
      <c r="J57" s="15"/>
    </row>
    <row r="58" customFormat="false" ht="15" hidden="false" customHeight="false" outlineLevel="0" collapsed="false">
      <c r="H58" s="15"/>
      <c r="I58" s="15"/>
      <c r="J58" s="15"/>
    </row>
    <row r="59" customFormat="false" ht="15" hidden="false" customHeight="false" outlineLevel="0" collapsed="false">
      <c r="H59" s="15"/>
      <c r="I59" s="15"/>
      <c r="J59" s="15"/>
    </row>
    <row r="60" customFormat="false" ht="15" hidden="false" customHeight="false" outlineLevel="0" collapsed="false">
      <c r="H60" s="15"/>
      <c r="I60" s="15"/>
      <c r="J60" s="15"/>
    </row>
    <row r="61" customFormat="false" ht="15" hidden="false" customHeight="false" outlineLevel="0" collapsed="false">
      <c r="H61" s="15"/>
      <c r="I61" s="15"/>
      <c r="J61" s="15"/>
    </row>
    <row r="62" customFormat="false" ht="15" hidden="false" customHeight="false" outlineLevel="0" collapsed="false">
      <c r="H62" s="15"/>
      <c r="I62" s="15"/>
      <c r="J62" s="15"/>
    </row>
    <row r="63" customFormat="false" ht="15" hidden="false" customHeight="false" outlineLevel="0" collapsed="false">
      <c r="H63" s="15"/>
      <c r="I63" s="15"/>
      <c r="J63" s="15"/>
    </row>
    <row r="64" customFormat="false" ht="15" hidden="false" customHeight="false" outlineLevel="0" collapsed="false">
      <c r="H64" s="15"/>
      <c r="I64" s="15"/>
      <c r="J64" s="15"/>
    </row>
    <row r="65" customFormat="false" ht="15" hidden="false" customHeight="false" outlineLevel="0" collapsed="false">
      <c r="H65" s="15"/>
      <c r="I65" s="15"/>
      <c r="J65" s="15"/>
    </row>
    <row r="66" customFormat="false" ht="15" hidden="false" customHeight="false" outlineLevel="0" collapsed="false">
      <c r="H66" s="15"/>
      <c r="I66" s="15"/>
      <c r="J66" s="15"/>
    </row>
    <row r="67" customFormat="false" ht="15" hidden="false" customHeight="false" outlineLevel="0" collapsed="false">
      <c r="H67" s="15"/>
      <c r="I67" s="15"/>
      <c r="J67" s="15"/>
    </row>
    <row r="68" customFormat="false" ht="15" hidden="false" customHeight="false" outlineLevel="0" collapsed="false">
      <c r="H68" s="15"/>
      <c r="I68" s="15"/>
      <c r="J68" s="15"/>
    </row>
    <row r="69" customFormat="false" ht="15" hidden="false" customHeight="false" outlineLevel="0" collapsed="false">
      <c r="H69" s="15"/>
      <c r="I69" s="15"/>
      <c r="J69" s="15"/>
    </row>
    <row r="70" customFormat="false" ht="15" hidden="false" customHeight="false" outlineLevel="0" collapsed="false">
      <c r="H70" s="15"/>
      <c r="I70" s="15"/>
      <c r="J70" s="15"/>
    </row>
    <row r="71" customFormat="false" ht="15" hidden="false" customHeight="false" outlineLevel="0" collapsed="false">
      <c r="H71" s="15"/>
      <c r="I71" s="15"/>
      <c r="J71" s="15"/>
    </row>
    <row r="72" customFormat="false" ht="15" hidden="false" customHeight="false" outlineLevel="0" collapsed="false">
      <c r="H72" s="15"/>
      <c r="I72" s="15"/>
      <c r="J72" s="15"/>
    </row>
    <row r="73" customFormat="false" ht="15" hidden="false" customHeight="false" outlineLevel="0" collapsed="false">
      <c r="H73" s="15"/>
      <c r="I73" s="15"/>
      <c r="J73" s="15"/>
    </row>
    <row r="74" customFormat="false" ht="15" hidden="false" customHeight="false" outlineLevel="0" collapsed="false">
      <c r="H74" s="15"/>
      <c r="I74" s="15"/>
      <c r="J74" s="15"/>
    </row>
    <row r="75" customFormat="false" ht="15" hidden="false" customHeight="false" outlineLevel="0" collapsed="false">
      <c r="H75" s="15"/>
      <c r="I75" s="15"/>
      <c r="J75" s="15"/>
    </row>
    <row r="76" customFormat="false" ht="15" hidden="false" customHeight="false" outlineLevel="0" collapsed="false">
      <c r="H76" s="15"/>
      <c r="I76" s="15"/>
      <c r="J76" s="15"/>
    </row>
    <row r="77" customFormat="false" ht="15" hidden="false" customHeight="false" outlineLevel="0" collapsed="false">
      <c r="H77" s="15"/>
      <c r="I77" s="15"/>
      <c r="J77" s="15"/>
    </row>
    <row r="78" customFormat="false" ht="15" hidden="false" customHeight="false" outlineLevel="0" collapsed="false">
      <c r="H78" s="15"/>
      <c r="I78" s="15"/>
      <c r="J78" s="15"/>
    </row>
    <row r="79" customFormat="false" ht="15" hidden="false" customHeight="false" outlineLevel="0" collapsed="false">
      <c r="H79" s="15"/>
      <c r="I79" s="15"/>
      <c r="J79" s="15"/>
    </row>
    <row r="80" customFormat="false" ht="15" hidden="false" customHeight="false" outlineLevel="0" collapsed="false">
      <c r="H80" s="15"/>
      <c r="I80" s="15"/>
      <c r="J80" s="15"/>
    </row>
    <row r="81" customFormat="false" ht="15" hidden="false" customHeight="false" outlineLevel="0" collapsed="false">
      <c r="H81" s="15"/>
      <c r="I81" s="15"/>
      <c r="J81" s="15"/>
    </row>
    <row r="82" customFormat="false" ht="15" hidden="false" customHeight="false" outlineLevel="0" collapsed="false">
      <c r="H82" s="15"/>
      <c r="I82" s="15"/>
      <c r="J82" s="15"/>
    </row>
    <row r="83" customFormat="false" ht="15" hidden="false" customHeight="false" outlineLevel="0" collapsed="false">
      <c r="H83" s="15"/>
      <c r="I83" s="15"/>
      <c r="J83" s="15"/>
    </row>
    <row r="84" customFormat="false" ht="15" hidden="false" customHeight="false" outlineLevel="0" collapsed="false">
      <c r="H84" s="15"/>
      <c r="I84" s="15"/>
      <c r="J84" s="15"/>
    </row>
    <row r="85" customFormat="false" ht="15" hidden="false" customHeight="false" outlineLevel="0" collapsed="false">
      <c r="H85" s="15"/>
      <c r="I85" s="15"/>
      <c r="J85" s="15"/>
    </row>
    <row r="86" customFormat="false" ht="15" hidden="false" customHeight="false" outlineLevel="0" collapsed="false">
      <c r="H86" s="15"/>
      <c r="I86" s="15"/>
      <c r="J86" s="15"/>
    </row>
    <row r="87" customFormat="false" ht="15" hidden="false" customHeight="false" outlineLevel="0" collapsed="false">
      <c r="H87" s="15"/>
      <c r="I87" s="15"/>
      <c r="J87" s="15"/>
    </row>
    <row r="88" customFormat="false" ht="15" hidden="false" customHeight="false" outlineLevel="0" collapsed="false">
      <c r="H88" s="15"/>
      <c r="I88" s="15"/>
      <c r="J88" s="15"/>
    </row>
    <row r="89" customFormat="false" ht="15" hidden="false" customHeight="false" outlineLevel="0" collapsed="false">
      <c r="H89" s="15"/>
      <c r="I89" s="15"/>
      <c r="J89" s="15"/>
    </row>
    <row r="90" customFormat="false" ht="15" hidden="false" customHeight="false" outlineLevel="0" collapsed="false">
      <c r="H90" s="15"/>
      <c r="I90" s="15"/>
      <c r="J90" s="15"/>
    </row>
    <row r="91" customFormat="false" ht="15" hidden="false" customHeight="false" outlineLevel="0" collapsed="false">
      <c r="H91" s="15"/>
      <c r="I91" s="15"/>
      <c r="J91" s="15"/>
    </row>
    <row r="92" customFormat="false" ht="15" hidden="false" customHeight="false" outlineLevel="0" collapsed="false">
      <c r="H92" s="15"/>
      <c r="I92" s="15"/>
      <c r="J92" s="15"/>
    </row>
    <row r="93" customFormat="false" ht="15" hidden="false" customHeight="false" outlineLevel="0" collapsed="false">
      <c r="H93" s="15"/>
      <c r="I93" s="15"/>
      <c r="J93" s="15"/>
    </row>
    <row r="94" customFormat="false" ht="15" hidden="false" customHeight="false" outlineLevel="0" collapsed="false">
      <c r="H94" s="15"/>
      <c r="I94" s="15"/>
      <c r="J94" s="15"/>
    </row>
    <row r="95" customFormat="false" ht="15" hidden="false" customHeight="false" outlineLevel="0" collapsed="false">
      <c r="H95" s="15"/>
      <c r="I95" s="15"/>
      <c r="J95" s="15"/>
    </row>
    <row r="96" customFormat="false" ht="15" hidden="false" customHeight="false" outlineLevel="0" collapsed="false">
      <c r="H96" s="15"/>
      <c r="I96" s="15"/>
      <c r="J96" s="15"/>
    </row>
    <row r="97" customFormat="false" ht="15" hidden="false" customHeight="false" outlineLevel="0" collapsed="false">
      <c r="H97" s="15"/>
      <c r="I97" s="15"/>
      <c r="J97" s="15"/>
    </row>
    <row r="98" customFormat="false" ht="15" hidden="false" customHeight="false" outlineLevel="0" collapsed="false">
      <c r="H98" s="15"/>
      <c r="I98" s="15"/>
      <c r="J98" s="15"/>
    </row>
    <row r="99" customFormat="false" ht="15" hidden="false" customHeight="false" outlineLevel="0" collapsed="false">
      <c r="H99" s="15"/>
      <c r="I99" s="15"/>
      <c r="J99" s="15"/>
    </row>
    <row r="100" customFormat="false" ht="15" hidden="false" customHeight="false" outlineLevel="0" collapsed="false">
      <c r="H100" s="15"/>
      <c r="I100" s="15"/>
      <c r="J100" s="15"/>
    </row>
    <row r="101" customFormat="false" ht="15" hidden="false" customHeight="false" outlineLevel="0" collapsed="false">
      <c r="H101" s="15"/>
      <c r="I101" s="15"/>
      <c r="J101" s="15"/>
    </row>
    <row r="102" customFormat="false" ht="15" hidden="false" customHeight="false" outlineLevel="0" collapsed="false">
      <c r="H102" s="15"/>
      <c r="I102" s="15"/>
      <c r="J102" s="15"/>
    </row>
    <row r="103" customFormat="false" ht="15" hidden="false" customHeight="false" outlineLevel="0" collapsed="false">
      <c r="H103" s="15"/>
      <c r="I103" s="15"/>
      <c r="J103" s="15"/>
    </row>
    <row r="104" customFormat="false" ht="15" hidden="false" customHeight="false" outlineLevel="0" collapsed="false">
      <c r="H104" s="15"/>
      <c r="I104" s="15"/>
      <c r="J104" s="15"/>
    </row>
    <row r="105" customFormat="false" ht="15" hidden="false" customHeight="false" outlineLevel="0" collapsed="false">
      <c r="H105" s="15"/>
      <c r="I105" s="15"/>
      <c r="J105" s="15"/>
    </row>
    <row r="106" customFormat="false" ht="15" hidden="false" customHeight="false" outlineLevel="0" collapsed="false">
      <c r="H106" s="15"/>
      <c r="I106" s="15"/>
      <c r="J106" s="15"/>
    </row>
    <row r="107" customFormat="false" ht="15" hidden="false" customHeight="false" outlineLevel="0" collapsed="false">
      <c r="H107" s="15"/>
      <c r="I107" s="15"/>
      <c r="J107" s="15"/>
    </row>
    <row r="108" customFormat="false" ht="15" hidden="false" customHeight="false" outlineLevel="0" collapsed="false">
      <c r="H108" s="15"/>
      <c r="I108" s="15"/>
      <c r="J108" s="15"/>
    </row>
    <row r="109" customFormat="false" ht="15" hidden="false" customHeight="false" outlineLevel="0" collapsed="false">
      <c r="H109" s="15"/>
      <c r="I109" s="15"/>
      <c r="J109" s="15"/>
    </row>
    <row r="110" customFormat="false" ht="15" hidden="false" customHeight="false" outlineLevel="0" collapsed="false">
      <c r="H110" s="15"/>
      <c r="I110" s="15"/>
      <c r="J110" s="15"/>
    </row>
    <row r="111" customFormat="false" ht="15" hidden="false" customHeight="false" outlineLevel="0" collapsed="false">
      <c r="H111" s="15"/>
      <c r="I111" s="15"/>
      <c r="J111" s="15"/>
    </row>
    <row r="112" customFormat="false" ht="15" hidden="false" customHeight="false" outlineLevel="0" collapsed="false">
      <c r="H112" s="15"/>
      <c r="I112" s="15"/>
      <c r="J112" s="15"/>
    </row>
    <row r="113" customFormat="false" ht="15" hidden="false" customHeight="false" outlineLevel="0" collapsed="false">
      <c r="H113" s="15"/>
      <c r="I113" s="15"/>
      <c r="J113" s="15"/>
    </row>
    <row r="114" customFormat="false" ht="15" hidden="false" customHeight="false" outlineLevel="0" collapsed="false">
      <c r="H114" s="15"/>
      <c r="I114" s="15"/>
      <c r="J114" s="15"/>
    </row>
    <row r="115" customFormat="false" ht="15" hidden="false" customHeight="false" outlineLevel="0" collapsed="false">
      <c r="H115" s="15"/>
      <c r="I115" s="15"/>
      <c r="J115" s="15"/>
    </row>
    <row r="116" customFormat="false" ht="15" hidden="false" customHeight="false" outlineLevel="0" collapsed="false">
      <c r="H116" s="15"/>
      <c r="I116" s="15"/>
      <c r="J116" s="15"/>
    </row>
    <row r="117" customFormat="false" ht="15" hidden="false" customHeight="false" outlineLevel="0" collapsed="false">
      <c r="H117" s="15"/>
      <c r="I117" s="15"/>
      <c r="J117" s="15"/>
    </row>
    <row r="118" customFormat="false" ht="15" hidden="false" customHeight="false" outlineLevel="0" collapsed="false">
      <c r="H118" s="15"/>
      <c r="I118" s="15"/>
      <c r="J118" s="15"/>
    </row>
    <row r="119" customFormat="false" ht="15" hidden="false" customHeight="false" outlineLevel="0" collapsed="false">
      <c r="H119" s="15"/>
      <c r="I119" s="15"/>
      <c r="J119" s="15"/>
    </row>
    <row r="120" customFormat="false" ht="15" hidden="false" customHeight="false" outlineLevel="0" collapsed="false">
      <c r="H120" s="15"/>
      <c r="I120" s="15"/>
      <c r="J120" s="15"/>
    </row>
    <row r="121" customFormat="false" ht="15" hidden="false" customHeight="false" outlineLevel="0" collapsed="false">
      <c r="H121" s="15"/>
      <c r="I121" s="15"/>
      <c r="J121" s="15"/>
    </row>
    <row r="122" customFormat="false" ht="15" hidden="false" customHeight="false" outlineLevel="0" collapsed="false">
      <c r="H122" s="15"/>
      <c r="I122" s="15"/>
      <c r="J122" s="15"/>
    </row>
    <row r="123" customFormat="false" ht="15" hidden="false" customHeight="false" outlineLevel="0" collapsed="false">
      <c r="H123" s="15"/>
      <c r="I123" s="15"/>
      <c r="J123" s="15"/>
    </row>
    <row r="124" customFormat="false" ht="15" hidden="false" customHeight="false" outlineLevel="0" collapsed="false">
      <c r="H124" s="15"/>
      <c r="I124" s="15"/>
      <c r="J124" s="15"/>
    </row>
    <row r="125" customFormat="false" ht="15" hidden="false" customHeight="false" outlineLevel="0" collapsed="false">
      <c r="H125" s="15"/>
      <c r="I125" s="15"/>
      <c r="J125" s="15"/>
    </row>
    <row r="126" customFormat="false" ht="15" hidden="false" customHeight="false" outlineLevel="0" collapsed="false">
      <c r="H126" s="15"/>
      <c r="I126" s="15"/>
      <c r="J126" s="15"/>
    </row>
    <row r="127" customFormat="false" ht="15" hidden="false" customHeight="false" outlineLevel="0" collapsed="false">
      <c r="H127" s="15"/>
      <c r="I127" s="15"/>
      <c r="J127" s="15"/>
    </row>
    <row r="128" customFormat="false" ht="15" hidden="false" customHeight="false" outlineLevel="0" collapsed="false">
      <c r="H128" s="15"/>
      <c r="I128" s="15"/>
      <c r="J128" s="15"/>
    </row>
    <row r="129" customFormat="false" ht="15" hidden="false" customHeight="false" outlineLevel="0" collapsed="false">
      <c r="H129" s="15"/>
      <c r="I129" s="15"/>
      <c r="J129" s="15"/>
    </row>
    <row r="130" customFormat="false" ht="15" hidden="false" customHeight="false" outlineLevel="0" collapsed="false">
      <c r="H130" s="15"/>
      <c r="I130" s="15"/>
      <c r="J130" s="15"/>
    </row>
    <row r="131" customFormat="false" ht="15" hidden="false" customHeight="false" outlineLevel="0" collapsed="false">
      <c r="H131" s="15"/>
      <c r="I131" s="15"/>
      <c r="J131" s="15"/>
    </row>
    <row r="132" customFormat="false" ht="15" hidden="false" customHeight="false" outlineLevel="0" collapsed="false">
      <c r="H132" s="15"/>
      <c r="I132" s="15"/>
      <c r="J132" s="15"/>
    </row>
    <row r="133" customFormat="false" ht="15" hidden="false" customHeight="false" outlineLevel="0" collapsed="false">
      <c r="H133" s="15"/>
      <c r="I133" s="15"/>
      <c r="J133" s="15"/>
    </row>
    <row r="134" customFormat="false" ht="15" hidden="false" customHeight="false" outlineLevel="0" collapsed="false">
      <c r="H134" s="15"/>
      <c r="I134" s="15"/>
      <c r="J134" s="15"/>
    </row>
    <row r="135" customFormat="false" ht="15" hidden="false" customHeight="false" outlineLevel="0" collapsed="false">
      <c r="H135" s="15"/>
      <c r="I135" s="15"/>
      <c r="J135" s="15"/>
    </row>
    <row r="136" customFormat="false" ht="15" hidden="false" customHeight="false" outlineLevel="0" collapsed="false">
      <c r="H136" s="15"/>
      <c r="I136" s="15"/>
      <c r="J136" s="15"/>
    </row>
    <row r="137" customFormat="false" ht="15" hidden="false" customHeight="false" outlineLevel="0" collapsed="false">
      <c r="H137" s="15"/>
      <c r="I137" s="15"/>
      <c r="J137" s="15"/>
    </row>
    <row r="138" customFormat="false" ht="15" hidden="false" customHeight="false" outlineLevel="0" collapsed="false">
      <c r="H138" s="15"/>
      <c r="I138" s="15"/>
      <c r="J138" s="15"/>
    </row>
    <row r="139" customFormat="false" ht="15" hidden="false" customHeight="false" outlineLevel="0" collapsed="false">
      <c r="H139" s="15"/>
      <c r="I139" s="15"/>
      <c r="J139" s="15"/>
    </row>
    <row r="140" customFormat="false" ht="15" hidden="false" customHeight="false" outlineLevel="0" collapsed="false">
      <c r="H140" s="15"/>
      <c r="I140" s="15"/>
      <c r="J140" s="15"/>
    </row>
    <row r="141" customFormat="false" ht="15" hidden="false" customHeight="false" outlineLevel="0" collapsed="false">
      <c r="H141" s="15"/>
      <c r="I141" s="15"/>
      <c r="J141" s="15"/>
    </row>
    <row r="142" customFormat="false" ht="15" hidden="false" customHeight="false" outlineLevel="0" collapsed="false">
      <c r="H142" s="15"/>
      <c r="I142" s="15"/>
      <c r="J142" s="15"/>
    </row>
    <row r="143" customFormat="false" ht="15" hidden="false" customHeight="false" outlineLevel="0" collapsed="false">
      <c r="H143" s="15"/>
      <c r="I143" s="15"/>
      <c r="J143" s="15"/>
    </row>
    <row r="144" customFormat="false" ht="15" hidden="false" customHeight="false" outlineLevel="0" collapsed="false">
      <c r="H144" s="15"/>
      <c r="I144" s="15"/>
      <c r="J144" s="15"/>
    </row>
    <row r="145" customFormat="false" ht="15" hidden="false" customHeight="false" outlineLevel="0" collapsed="false">
      <c r="H145" s="15"/>
      <c r="I145" s="15"/>
      <c r="J145" s="15"/>
    </row>
    <row r="146" customFormat="false" ht="15" hidden="false" customHeight="false" outlineLevel="0" collapsed="false">
      <c r="H146" s="15"/>
      <c r="I146" s="15"/>
      <c r="J146" s="15"/>
    </row>
    <row r="147" customFormat="false" ht="15" hidden="false" customHeight="false" outlineLevel="0" collapsed="false">
      <c r="H147" s="15"/>
      <c r="I147" s="15"/>
      <c r="J147" s="15"/>
    </row>
    <row r="148" customFormat="false" ht="15" hidden="false" customHeight="false" outlineLevel="0" collapsed="false">
      <c r="H148" s="15"/>
      <c r="I148" s="15"/>
      <c r="J148" s="15"/>
    </row>
    <row r="149" customFormat="false" ht="15" hidden="false" customHeight="false" outlineLevel="0" collapsed="false">
      <c r="H149" s="15"/>
      <c r="I149" s="15"/>
      <c r="J149" s="15"/>
    </row>
    <row r="150" customFormat="false" ht="15" hidden="false" customHeight="false" outlineLevel="0" collapsed="false">
      <c r="H150" s="15"/>
      <c r="I150" s="15"/>
      <c r="J150" s="15"/>
    </row>
    <row r="151" customFormat="false" ht="15" hidden="false" customHeight="false" outlineLevel="0" collapsed="false">
      <c r="H151" s="15"/>
      <c r="I151" s="15"/>
      <c r="J151" s="15"/>
    </row>
    <row r="152" customFormat="false" ht="15" hidden="false" customHeight="false" outlineLevel="0" collapsed="false">
      <c r="H152" s="15"/>
      <c r="I152" s="15"/>
      <c r="J152" s="15"/>
    </row>
    <row r="153" customFormat="false" ht="15" hidden="false" customHeight="false" outlineLevel="0" collapsed="false">
      <c r="H153" s="15"/>
      <c r="I153" s="15"/>
      <c r="J153" s="15"/>
    </row>
    <row r="154" customFormat="false" ht="15" hidden="false" customHeight="false" outlineLevel="0" collapsed="false">
      <c r="H154" s="15"/>
      <c r="I154" s="15"/>
      <c r="J154" s="15"/>
    </row>
    <row r="155" customFormat="false" ht="15" hidden="false" customHeight="false" outlineLevel="0" collapsed="false">
      <c r="H155" s="15"/>
      <c r="I155" s="15"/>
      <c r="J155" s="15"/>
    </row>
    <row r="156" customFormat="false" ht="15" hidden="false" customHeight="false" outlineLevel="0" collapsed="false">
      <c r="H156" s="15"/>
      <c r="I156" s="15"/>
      <c r="J156" s="15"/>
    </row>
    <row r="157" customFormat="false" ht="15" hidden="false" customHeight="false" outlineLevel="0" collapsed="false">
      <c r="H157" s="15"/>
      <c r="I157" s="15"/>
      <c r="J157" s="15"/>
    </row>
    <row r="158" customFormat="false" ht="15" hidden="false" customHeight="false" outlineLevel="0" collapsed="false">
      <c r="H158" s="15"/>
      <c r="I158" s="15"/>
      <c r="J158" s="15"/>
    </row>
    <row r="159" customFormat="false" ht="15" hidden="false" customHeight="false" outlineLevel="0" collapsed="false">
      <c r="H159" s="15"/>
      <c r="I159" s="15"/>
      <c r="J159" s="15"/>
    </row>
    <row r="160" customFormat="false" ht="15" hidden="false" customHeight="false" outlineLevel="0" collapsed="false">
      <c r="H160" s="15"/>
      <c r="I160" s="15"/>
      <c r="J160" s="15"/>
    </row>
    <row r="161" customFormat="false" ht="15" hidden="false" customHeight="false" outlineLevel="0" collapsed="false">
      <c r="H161" s="15"/>
      <c r="I161" s="15"/>
      <c r="J161" s="15"/>
    </row>
    <row r="162" customFormat="false" ht="15" hidden="false" customHeight="false" outlineLevel="0" collapsed="false">
      <c r="H162" s="15"/>
      <c r="I162" s="15"/>
      <c r="J162" s="15"/>
    </row>
    <row r="163" customFormat="false" ht="15" hidden="false" customHeight="false" outlineLevel="0" collapsed="false">
      <c r="H163" s="15"/>
      <c r="I163" s="15"/>
      <c r="J163" s="15"/>
    </row>
    <row r="164" customFormat="false" ht="15" hidden="false" customHeight="false" outlineLevel="0" collapsed="false">
      <c r="H164" s="15"/>
      <c r="I164" s="15"/>
      <c r="J164" s="15"/>
    </row>
    <row r="165" customFormat="false" ht="15" hidden="false" customHeight="false" outlineLevel="0" collapsed="false">
      <c r="H165" s="15"/>
      <c r="I165" s="15"/>
      <c r="J165" s="15"/>
    </row>
    <row r="166" customFormat="false" ht="15" hidden="false" customHeight="false" outlineLevel="0" collapsed="false">
      <c r="H166" s="15"/>
      <c r="I166" s="15"/>
      <c r="J166" s="15"/>
    </row>
    <row r="167" customFormat="false" ht="15" hidden="false" customHeight="false" outlineLevel="0" collapsed="false">
      <c r="H167" s="15"/>
      <c r="I167" s="15"/>
      <c r="J167" s="15"/>
    </row>
    <row r="168" customFormat="false" ht="15" hidden="false" customHeight="false" outlineLevel="0" collapsed="false">
      <c r="H168" s="15"/>
      <c r="I168" s="15"/>
      <c r="J168" s="15"/>
    </row>
    <row r="169" customFormat="false" ht="15" hidden="false" customHeight="false" outlineLevel="0" collapsed="false">
      <c r="H169" s="15"/>
      <c r="I169" s="15"/>
      <c r="J169" s="15"/>
    </row>
    <row r="170" customFormat="false" ht="15" hidden="false" customHeight="false" outlineLevel="0" collapsed="false">
      <c r="H170" s="15"/>
      <c r="I170" s="15"/>
      <c r="J170" s="15"/>
    </row>
    <row r="171" customFormat="false" ht="15" hidden="false" customHeight="false" outlineLevel="0" collapsed="false">
      <c r="H171" s="15"/>
      <c r="I171" s="15"/>
      <c r="J171" s="15"/>
    </row>
    <row r="172" customFormat="false" ht="15" hidden="false" customHeight="false" outlineLevel="0" collapsed="false">
      <c r="H172" s="15"/>
      <c r="I172" s="15"/>
      <c r="J172" s="15"/>
    </row>
    <row r="173" customFormat="false" ht="15" hidden="false" customHeight="false" outlineLevel="0" collapsed="false">
      <c r="H173" s="15"/>
      <c r="I173" s="15"/>
      <c r="J173" s="15"/>
    </row>
    <row r="174" customFormat="false" ht="15" hidden="false" customHeight="false" outlineLevel="0" collapsed="false">
      <c r="H174" s="15"/>
      <c r="I174" s="15"/>
      <c r="J174" s="15"/>
    </row>
    <row r="175" customFormat="false" ht="15" hidden="false" customHeight="false" outlineLevel="0" collapsed="false">
      <c r="H175" s="15"/>
      <c r="I175" s="15"/>
      <c r="J175" s="15"/>
    </row>
    <row r="176" customFormat="false" ht="15" hidden="false" customHeight="false" outlineLevel="0" collapsed="false">
      <c r="H176" s="15"/>
      <c r="I176" s="15"/>
      <c r="J176" s="15"/>
    </row>
    <row r="177" customFormat="false" ht="15" hidden="false" customHeight="false" outlineLevel="0" collapsed="false">
      <c r="H177" s="15"/>
      <c r="I177" s="15"/>
      <c r="J177" s="15"/>
    </row>
    <row r="178" customFormat="false" ht="15" hidden="false" customHeight="false" outlineLevel="0" collapsed="false">
      <c r="H178" s="15"/>
      <c r="I178" s="15"/>
      <c r="J178" s="15"/>
    </row>
    <row r="179" customFormat="false" ht="15" hidden="false" customHeight="false" outlineLevel="0" collapsed="false">
      <c r="H179" s="15"/>
      <c r="I179" s="15"/>
      <c r="J179" s="15"/>
    </row>
    <row r="180" customFormat="false" ht="15" hidden="false" customHeight="false" outlineLevel="0" collapsed="false">
      <c r="H180" s="15"/>
      <c r="I180" s="15"/>
      <c r="J180" s="15"/>
    </row>
    <row r="181" customFormat="false" ht="15" hidden="false" customHeight="false" outlineLevel="0" collapsed="false">
      <c r="H181" s="15"/>
      <c r="I181" s="15"/>
      <c r="J181" s="15"/>
    </row>
    <row r="182" customFormat="false" ht="15" hidden="false" customHeight="false" outlineLevel="0" collapsed="false">
      <c r="H182" s="15"/>
      <c r="I182" s="15"/>
      <c r="J182" s="15"/>
    </row>
    <row r="183" customFormat="false" ht="15" hidden="false" customHeight="false" outlineLevel="0" collapsed="false">
      <c r="H183" s="15"/>
      <c r="I183" s="15"/>
      <c r="J183" s="15"/>
    </row>
    <row r="184" customFormat="false" ht="15" hidden="false" customHeight="false" outlineLevel="0" collapsed="false">
      <c r="H184" s="15"/>
      <c r="I184" s="15"/>
      <c r="J184" s="15"/>
    </row>
    <row r="185" customFormat="false" ht="15" hidden="false" customHeight="false" outlineLevel="0" collapsed="false">
      <c r="H185" s="15"/>
      <c r="I185" s="15"/>
      <c r="J185" s="15"/>
    </row>
    <row r="186" customFormat="false" ht="15" hidden="false" customHeight="false" outlineLevel="0" collapsed="false">
      <c r="H186" s="15"/>
      <c r="I186" s="15"/>
      <c r="J186" s="15"/>
    </row>
    <row r="187" customFormat="false" ht="15" hidden="false" customHeight="false" outlineLevel="0" collapsed="false">
      <c r="H187" s="15"/>
      <c r="I187" s="15"/>
      <c r="J187" s="15"/>
    </row>
    <row r="188" customFormat="false" ht="15" hidden="false" customHeight="false" outlineLevel="0" collapsed="false">
      <c r="H188" s="15"/>
      <c r="I188" s="15"/>
      <c r="J188" s="15"/>
    </row>
    <row r="189" customFormat="false" ht="15" hidden="false" customHeight="false" outlineLevel="0" collapsed="false">
      <c r="H189" s="15"/>
      <c r="I189" s="15"/>
      <c r="J189" s="15"/>
    </row>
    <row r="190" customFormat="false" ht="15" hidden="false" customHeight="false" outlineLevel="0" collapsed="false">
      <c r="H190" s="15"/>
      <c r="I190" s="15"/>
      <c r="J190" s="15"/>
    </row>
    <row r="191" customFormat="false" ht="15" hidden="false" customHeight="false" outlineLevel="0" collapsed="false">
      <c r="H191" s="15"/>
      <c r="I191" s="15"/>
      <c r="J191" s="15"/>
    </row>
    <row r="192" customFormat="false" ht="15" hidden="false" customHeight="false" outlineLevel="0" collapsed="false">
      <c r="H192" s="15"/>
      <c r="I192" s="15"/>
      <c r="J192" s="15"/>
    </row>
    <row r="193" customFormat="false" ht="15" hidden="false" customHeight="false" outlineLevel="0" collapsed="false">
      <c r="H193" s="15"/>
      <c r="I193" s="15"/>
      <c r="J193" s="15"/>
    </row>
    <row r="194" customFormat="false" ht="15" hidden="false" customHeight="false" outlineLevel="0" collapsed="false">
      <c r="H194" s="15"/>
      <c r="I194" s="15"/>
      <c r="J194" s="15"/>
    </row>
    <row r="195" customFormat="false" ht="15" hidden="false" customHeight="false" outlineLevel="0" collapsed="false">
      <c r="H195" s="15"/>
      <c r="I195" s="15"/>
      <c r="J195" s="15"/>
    </row>
    <row r="196" customFormat="false" ht="15" hidden="false" customHeight="false" outlineLevel="0" collapsed="false">
      <c r="H196" s="15"/>
      <c r="I196" s="15"/>
      <c r="J196" s="15"/>
    </row>
    <row r="197" customFormat="false" ht="15" hidden="false" customHeight="false" outlineLevel="0" collapsed="false">
      <c r="H197" s="15"/>
      <c r="I197" s="15"/>
      <c r="J197" s="15"/>
    </row>
    <row r="198" customFormat="false" ht="15" hidden="false" customHeight="false" outlineLevel="0" collapsed="false">
      <c r="H198" s="15"/>
      <c r="I198" s="15"/>
      <c r="J198" s="15"/>
    </row>
    <row r="199" customFormat="false" ht="15" hidden="false" customHeight="false" outlineLevel="0" collapsed="false">
      <c r="H199" s="15"/>
      <c r="I199" s="15"/>
      <c r="J199" s="15"/>
    </row>
    <row r="200" customFormat="false" ht="15" hidden="false" customHeight="false" outlineLevel="0" collapsed="false">
      <c r="H200" s="15"/>
      <c r="I200" s="15"/>
      <c r="J200" s="15"/>
    </row>
    <row r="201" customFormat="false" ht="15" hidden="false" customHeight="false" outlineLevel="0" collapsed="false">
      <c r="H201" s="15"/>
      <c r="I201" s="15"/>
      <c r="J201" s="15"/>
    </row>
    <row r="202" customFormat="false" ht="15" hidden="false" customHeight="false" outlineLevel="0" collapsed="false">
      <c r="H202" s="15"/>
      <c r="I202" s="15"/>
      <c r="J202" s="15"/>
    </row>
    <row r="203" customFormat="false" ht="15" hidden="false" customHeight="false" outlineLevel="0" collapsed="false">
      <c r="H203" s="15"/>
      <c r="I203" s="15"/>
      <c r="J203" s="15"/>
    </row>
    <row r="204" customFormat="false" ht="15" hidden="false" customHeight="false" outlineLevel="0" collapsed="false">
      <c r="H204" s="15"/>
      <c r="I204" s="15"/>
      <c r="J204" s="15"/>
    </row>
    <row r="205" customFormat="false" ht="15" hidden="false" customHeight="false" outlineLevel="0" collapsed="false">
      <c r="H205" s="15"/>
      <c r="I205" s="15"/>
      <c r="J205" s="15"/>
    </row>
    <row r="206" customFormat="false" ht="15" hidden="false" customHeight="false" outlineLevel="0" collapsed="false">
      <c r="H206" s="15"/>
      <c r="I206" s="15"/>
      <c r="J206" s="15"/>
    </row>
    <row r="207" customFormat="false" ht="15" hidden="false" customHeight="false" outlineLevel="0" collapsed="false">
      <c r="H207" s="15"/>
      <c r="I207" s="15"/>
      <c r="J207" s="15"/>
    </row>
    <row r="208" customFormat="false" ht="15" hidden="false" customHeight="false" outlineLevel="0" collapsed="false">
      <c r="H208" s="15"/>
      <c r="I208" s="15"/>
      <c r="J208" s="15"/>
    </row>
    <row r="209" customFormat="false" ht="15" hidden="false" customHeight="false" outlineLevel="0" collapsed="false">
      <c r="H209" s="15"/>
      <c r="I209" s="15"/>
      <c r="J209" s="15"/>
    </row>
    <row r="210" customFormat="false" ht="15" hidden="false" customHeight="false" outlineLevel="0" collapsed="false">
      <c r="H210" s="15"/>
      <c r="I210" s="15"/>
      <c r="J210" s="15"/>
    </row>
    <row r="211" customFormat="false" ht="15" hidden="false" customHeight="false" outlineLevel="0" collapsed="false">
      <c r="H211" s="15"/>
      <c r="I211" s="15"/>
      <c r="J211" s="15"/>
    </row>
    <row r="212" customFormat="false" ht="15" hidden="false" customHeight="false" outlineLevel="0" collapsed="false">
      <c r="H212" s="15"/>
      <c r="I212" s="15"/>
      <c r="J212" s="15"/>
    </row>
    <row r="213" customFormat="false" ht="15" hidden="false" customHeight="false" outlineLevel="0" collapsed="false">
      <c r="H213" s="15"/>
      <c r="I213" s="15"/>
      <c r="J213" s="15"/>
    </row>
    <row r="214" customFormat="false" ht="15" hidden="false" customHeight="false" outlineLevel="0" collapsed="false">
      <c r="H214" s="15"/>
      <c r="I214" s="15"/>
      <c r="J214" s="15"/>
    </row>
    <row r="215" customFormat="false" ht="15" hidden="false" customHeight="false" outlineLevel="0" collapsed="false">
      <c r="H215" s="15"/>
      <c r="I215" s="15"/>
      <c r="J215" s="15"/>
    </row>
    <row r="216" customFormat="false" ht="15" hidden="false" customHeight="false" outlineLevel="0" collapsed="false">
      <c r="H216" s="15"/>
      <c r="I216" s="15"/>
      <c r="J216" s="15"/>
    </row>
    <row r="217" customFormat="false" ht="15" hidden="false" customHeight="false" outlineLevel="0" collapsed="false">
      <c r="H217" s="15"/>
      <c r="I217" s="15"/>
      <c r="J217" s="15"/>
    </row>
    <row r="218" customFormat="false" ht="15" hidden="false" customHeight="false" outlineLevel="0" collapsed="false">
      <c r="H218" s="15"/>
      <c r="I218" s="15"/>
      <c r="J218" s="15"/>
    </row>
    <row r="219" customFormat="false" ht="15" hidden="false" customHeight="false" outlineLevel="0" collapsed="false">
      <c r="H219" s="15"/>
      <c r="I219" s="15"/>
      <c r="J219" s="15"/>
    </row>
    <row r="220" customFormat="false" ht="15" hidden="false" customHeight="false" outlineLevel="0" collapsed="false">
      <c r="H220" s="15"/>
      <c r="I220" s="15"/>
      <c r="J220" s="15"/>
    </row>
    <row r="221" customFormat="false" ht="15" hidden="false" customHeight="false" outlineLevel="0" collapsed="false">
      <c r="H221" s="15"/>
      <c r="I221" s="15"/>
      <c r="J221" s="15"/>
    </row>
    <row r="222" customFormat="false" ht="15" hidden="false" customHeight="false" outlineLevel="0" collapsed="false">
      <c r="H222" s="15"/>
      <c r="I222" s="15"/>
      <c r="J222" s="15"/>
    </row>
    <row r="223" customFormat="false" ht="15" hidden="false" customHeight="false" outlineLevel="0" collapsed="false">
      <c r="H223" s="15"/>
      <c r="I223" s="15"/>
      <c r="J223" s="15"/>
    </row>
    <row r="224" customFormat="false" ht="15" hidden="false" customHeight="false" outlineLevel="0" collapsed="false">
      <c r="H224" s="15"/>
      <c r="I224" s="15"/>
      <c r="J224" s="15"/>
    </row>
    <row r="225" customFormat="false" ht="15" hidden="false" customHeight="false" outlineLevel="0" collapsed="false">
      <c r="H225" s="15"/>
      <c r="I225" s="15"/>
      <c r="J225" s="15"/>
    </row>
    <row r="226" customFormat="false" ht="15" hidden="false" customHeight="false" outlineLevel="0" collapsed="false">
      <c r="H226" s="15"/>
      <c r="I226" s="15"/>
      <c r="J226" s="15"/>
    </row>
    <row r="227" customFormat="false" ht="15" hidden="false" customHeight="false" outlineLevel="0" collapsed="false">
      <c r="H227" s="15"/>
      <c r="I227" s="15"/>
      <c r="J227" s="15"/>
    </row>
    <row r="228" customFormat="false" ht="15" hidden="false" customHeight="false" outlineLevel="0" collapsed="false">
      <c r="H228" s="15"/>
      <c r="I228" s="15"/>
      <c r="J228" s="15"/>
    </row>
    <row r="229" customFormat="false" ht="15" hidden="false" customHeight="false" outlineLevel="0" collapsed="false">
      <c r="H229" s="15"/>
      <c r="I229" s="15"/>
      <c r="J229" s="15"/>
    </row>
    <row r="230" customFormat="false" ht="15" hidden="false" customHeight="false" outlineLevel="0" collapsed="false">
      <c r="H230" s="15"/>
      <c r="I230" s="15"/>
      <c r="J230" s="15"/>
    </row>
    <row r="231" customFormat="false" ht="15" hidden="false" customHeight="false" outlineLevel="0" collapsed="false">
      <c r="H231" s="15"/>
      <c r="I231" s="15"/>
      <c r="J231" s="15"/>
    </row>
    <row r="232" customFormat="false" ht="15" hidden="false" customHeight="false" outlineLevel="0" collapsed="false">
      <c r="H232" s="15"/>
      <c r="I232" s="15"/>
      <c r="J232" s="15"/>
    </row>
    <row r="233" customFormat="false" ht="15" hidden="false" customHeight="false" outlineLevel="0" collapsed="false">
      <c r="H233" s="15"/>
      <c r="I233" s="15"/>
      <c r="J233" s="15"/>
    </row>
    <row r="234" customFormat="false" ht="15" hidden="false" customHeight="false" outlineLevel="0" collapsed="false">
      <c r="H234" s="15"/>
      <c r="I234" s="15"/>
      <c r="J234" s="15"/>
    </row>
    <row r="235" customFormat="false" ht="15" hidden="false" customHeight="false" outlineLevel="0" collapsed="false">
      <c r="H235" s="15"/>
      <c r="I235" s="15"/>
      <c r="J235" s="15"/>
    </row>
    <row r="236" customFormat="false" ht="15" hidden="false" customHeight="false" outlineLevel="0" collapsed="false">
      <c r="H236" s="15"/>
      <c r="I236" s="15"/>
      <c r="J236" s="15"/>
    </row>
    <row r="237" customFormat="false" ht="15" hidden="false" customHeight="false" outlineLevel="0" collapsed="false">
      <c r="H237" s="15"/>
      <c r="I237" s="15"/>
      <c r="J237" s="15"/>
    </row>
    <row r="238" customFormat="false" ht="15" hidden="false" customHeight="false" outlineLevel="0" collapsed="false">
      <c r="H238" s="15"/>
      <c r="I238" s="15"/>
      <c r="J238" s="15"/>
    </row>
    <row r="239" customFormat="false" ht="15" hidden="false" customHeight="false" outlineLevel="0" collapsed="false">
      <c r="H239" s="15"/>
      <c r="I239" s="15"/>
      <c r="J239" s="15"/>
    </row>
    <row r="240" customFormat="false" ht="15" hidden="false" customHeight="false" outlineLevel="0" collapsed="false">
      <c r="H240" s="15"/>
      <c r="I240" s="15"/>
      <c r="J240" s="15"/>
    </row>
    <row r="241" customFormat="false" ht="15" hidden="false" customHeight="false" outlineLevel="0" collapsed="false">
      <c r="H241" s="15"/>
      <c r="I241" s="15"/>
      <c r="J241" s="15"/>
    </row>
    <row r="242" customFormat="false" ht="15" hidden="false" customHeight="false" outlineLevel="0" collapsed="false">
      <c r="H242" s="15"/>
      <c r="I242" s="15"/>
      <c r="J242" s="15"/>
    </row>
    <row r="243" customFormat="false" ht="15" hidden="false" customHeight="false" outlineLevel="0" collapsed="false">
      <c r="H243" s="15"/>
      <c r="I243" s="15"/>
      <c r="J243" s="15"/>
    </row>
    <row r="244" customFormat="false" ht="15" hidden="false" customHeight="false" outlineLevel="0" collapsed="false">
      <c r="H244" s="15"/>
      <c r="I244" s="15"/>
      <c r="J244" s="15"/>
    </row>
    <row r="245" customFormat="false" ht="15" hidden="false" customHeight="false" outlineLevel="0" collapsed="false">
      <c r="H245" s="15"/>
      <c r="I245" s="15"/>
      <c r="J245" s="15"/>
    </row>
    <row r="246" customFormat="false" ht="15" hidden="false" customHeight="false" outlineLevel="0" collapsed="false">
      <c r="H246" s="15"/>
      <c r="I246" s="15"/>
      <c r="J246" s="15"/>
    </row>
    <row r="247" customFormat="false" ht="15" hidden="false" customHeight="false" outlineLevel="0" collapsed="false">
      <c r="H247" s="15"/>
      <c r="I247" s="15"/>
      <c r="J247" s="15"/>
    </row>
    <row r="248" customFormat="false" ht="15" hidden="false" customHeight="false" outlineLevel="0" collapsed="false">
      <c r="H248" s="15"/>
      <c r="I248" s="15"/>
      <c r="J248" s="15"/>
    </row>
    <row r="249" customFormat="false" ht="15" hidden="false" customHeight="false" outlineLevel="0" collapsed="false">
      <c r="H249" s="15"/>
      <c r="I249" s="15"/>
      <c r="J249" s="15"/>
    </row>
    <row r="250" customFormat="false" ht="15" hidden="false" customHeight="false" outlineLevel="0" collapsed="false">
      <c r="H250" s="15"/>
      <c r="I250" s="15"/>
      <c r="J250" s="15"/>
    </row>
    <row r="251" customFormat="false" ht="15" hidden="false" customHeight="false" outlineLevel="0" collapsed="false">
      <c r="H251" s="15"/>
      <c r="I251" s="15"/>
      <c r="J251" s="15"/>
    </row>
    <row r="252" customFormat="false" ht="15" hidden="false" customHeight="false" outlineLevel="0" collapsed="false">
      <c r="H252" s="15"/>
      <c r="I252" s="15"/>
      <c r="J252" s="15"/>
    </row>
    <row r="253" customFormat="false" ht="15" hidden="false" customHeight="false" outlineLevel="0" collapsed="false">
      <c r="H253" s="15"/>
      <c r="I253" s="15"/>
      <c r="J253" s="15"/>
    </row>
    <row r="254" customFormat="false" ht="15" hidden="false" customHeight="false" outlineLevel="0" collapsed="false">
      <c r="H254" s="15"/>
      <c r="I254" s="15"/>
      <c r="J254" s="15"/>
    </row>
    <row r="255" customFormat="false" ht="15" hidden="false" customHeight="false" outlineLevel="0" collapsed="false">
      <c r="H255" s="15"/>
      <c r="I255" s="15"/>
      <c r="J255" s="15"/>
    </row>
    <row r="256" customFormat="false" ht="15" hidden="false" customHeight="false" outlineLevel="0" collapsed="false">
      <c r="H256" s="15"/>
      <c r="I256" s="15"/>
      <c r="J256" s="15"/>
    </row>
    <row r="257" customFormat="false" ht="15" hidden="false" customHeight="false" outlineLevel="0" collapsed="false">
      <c r="H257" s="15"/>
      <c r="I257" s="15"/>
      <c r="J257" s="15"/>
    </row>
    <row r="258" customFormat="false" ht="15" hidden="false" customHeight="false" outlineLevel="0" collapsed="false">
      <c r="H258" s="15"/>
      <c r="I258" s="15"/>
      <c r="J258" s="15"/>
    </row>
    <row r="259" customFormat="false" ht="15" hidden="false" customHeight="false" outlineLevel="0" collapsed="false">
      <c r="H259" s="15"/>
      <c r="I259" s="15"/>
      <c r="J259" s="15"/>
    </row>
    <row r="260" customFormat="false" ht="15" hidden="false" customHeight="false" outlineLevel="0" collapsed="false">
      <c r="H260" s="15"/>
      <c r="I260" s="15"/>
      <c r="J260" s="15"/>
    </row>
    <row r="261" customFormat="false" ht="15" hidden="false" customHeight="false" outlineLevel="0" collapsed="false">
      <c r="H261" s="15"/>
      <c r="I261" s="15"/>
      <c r="J261" s="15"/>
    </row>
    <row r="262" customFormat="false" ht="15" hidden="false" customHeight="false" outlineLevel="0" collapsed="false">
      <c r="H262" s="15"/>
      <c r="I262" s="15"/>
      <c r="J262" s="15"/>
    </row>
    <row r="263" customFormat="false" ht="15" hidden="false" customHeight="false" outlineLevel="0" collapsed="false">
      <c r="H263" s="15"/>
      <c r="I263" s="15"/>
      <c r="J263" s="15"/>
    </row>
    <row r="264" customFormat="false" ht="15" hidden="false" customHeight="false" outlineLevel="0" collapsed="false">
      <c r="H264" s="15"/>
      <c r="I264" s="15"/>
      <c r="J264" s="15"/>
    </row>
    <row r="265" customFormat="false" ht="15" hidden="false" customHeight="false" outlineLevel="0" collapsed="false">
      <c r="H265" s="15"/>
      <c r="I265" s="15"/>
      <c r="J265" s="15"/>
    </row>
    <row r="266" customFormat="false" ht="15" hidden="false" customHeight="false" outlineLevel="0" collapsed="false">
      <c r="H266" s="15"/>
      <c r="I266" s="15"/>
      <c r="J266" s="15"/>
    </row>
    <row r="267" customFormat="false" ht="15" hidden="false" customHeight="false" outlineLevel="0" collapsed="false">
      <c r="H267" s="15"/>
      <c r="I267" s="15"/>
      <c r="J267" s="15"/>
    </row>
    <row r="268" customFormat="false" ht="15" hidden="false" customHeight="false" outlineLevel="0" collapsed="false">
      <c r="H268" s="15"/>
      <c r="I268" s="15"/>
      <c r="J268" s="15"/>
    </row>
    <row r="269" customFormat="false" ht="15" hidden="false" customHeight="false" outlineLevel="0" collapsed="false">
      <c r="H269" s="15"/>
      <c r="I269" s="15"/>
      <c r="J269" s="15"/>
    </row>
    <row r="270" customFormat="false" ht="15" hidden="false" customHeight="false" outlineLevel="0" collapsed="false">
      <c r="H270" s="15"/>
      <c r="I270" s="15"/>
      <c r="J270" s="15"/>
    </row>
    <row r="271" customFormat="false" ht="15" hidden="false" customHeight="false" outlineLevel="0" collapsed="false">
      <c r="H271" s="15"/>
      <c r="I271" s="15"/>
      <c r="J271" s="15"/>
    </row>
    <row r="272" customFormat="false" ht="15" hidden="false" customHeight="false" outlineLevel="0" collapsed="false">
      <c r="H272" s="15"/>
      <c r="I272" s="15"/>
      <c r="J272" s="15"/>
    </row>
    <row r="273" customFormat="false" ht="15" hidden="false" customHeight="false" outlineLevel="0" collapsed="false">
      <c r="H273" s="15"/>
      <c r="I273" s="15"/>
      <c r="J273" s="15"/>
    </row>
    <row r="274" customFormat="false" ht="15" hidden="false" customHeight="false" outlineLevel="0" collapsed="false">
      <c r="H274" s="15"/>
      <c r="I274" s="15"/>
      <c r="J274" s="15"/>
    </row>
    <row r="275" customFormat="false" ht="15" hidden="false" customHeight="false" outlineLevel="0" collapsed="false">
      <c r="H275" s="15"/>
      <c r="I275" s="15"/>
      <c r="J275" s="15"/>
    </row>
    <row r="276" customFormat="false" ht="15" hidden="false" customHeight="false" outlineLevel="0" collapsed="false">
      <c r="H276" s="15"/>
      <c r="I276" s="15"/>
      <c r="J276" s="15"/>
    </row>
    <row r="277" customFormat="false" ht="15" hidden="false" customHeight="false" outlineLevel="0" collapsed="false">
      <c r="H277" s="15"/>
      <c r="I277" s="15"/>
      <c r="J277" s="15"/>
    </row>
    <row r="278" customFormat="false" ht="15" hidden="false" customHeight="false" outlineLevel="0" collapsed="false">
      <c r="H278" s="15"/>
      <c r="I278" s="15"/>
      <c r="J278" s="15"/>
    </row>
    <row r="279" customFormat="false" ht="15" hidden="false" customHeight="false" outlineLevel="0" collapsed="false">
      <c r="H279" s="15"/>
      <c r="I279" s="15"/>
      <c r="J279" s="15"/>
    </row>
    <row r="280" customFormat="false" ht="15" hidden="false" customHeight="false" outlineLevel="0" collapsed="false">
      <c r="H280" s="15"/>
      <c r="I280" s="15"/>
      <c r="J280" s="15"/>
    </row>
    <row r="281" customFormat="false" ht="15" hidden="false" customHeight="false" outlineLevel="0" collapsed="false">
      <c r="H281" s="15"/>
      <c r="I281" s="15"/>
      <c r="J281" s="15"/>
    </row>
    <row r="282" customFormat="false" ht="15" hidden="false" customHeight="false" outlineLevel="0" collapsed="false">
      <c r="H282" s="15"/>
      <c r="I282" s="15"/>
      <c r="J282" s="15"/>
    </row>
    <row r="283" customFormat="false" ht="15" hidden="false" customHeight="false" outlineLevel="0" collapsed="false">
      <c r="H283" s="15"/>
      <c r="I283" s="15"/>
      <c r="J283" s="15"/>
    </row>
    <row r="284" customFormat="false" ht="15" hidden="false" customHeight="false" outlineLevel="0" collapsed="false">
      <c r="H284" s="15"/>
      <c r="I284" s="15"/>
      <c r="J284" s="15"/>
    </row>
    <row r="285" customFormat="false" ht="15" hidden="false" customHeight="false" outlineLevel="0" collapsed="false">
      <c r="H285" s="15"/>
      <c r="I285" s="15"/>
      <c r="J285" s="15"/>
    </row>
    <row r="286" customFormat="false" ht="15" hidden="false" customHeight="false" outlineLevel="0" collapsed="false">
      <c r="H286" s="15"/>
      <c r="I286" s="15"/>
      <c r="J286" s="15"/>
    </row>
    <row r="287" customFormat="false" ht="15" hidden="false" customHeight="false" outlineLevel="0" collapsed="false">
      <c r="H287" s="15"/>
      <c r="I287" s="15"/>
      <c r="J287" s="15"/>
    </row>
    <row r="288" customFormat="false" ht="15" hidden="false" customHeight="false" outlineLevel="0" collapsed="false">
      <c r="H288" s="15"/>
      <c r="I288" s="15"/>
      <c r="J288" s="15"/>
    </row>
    <row r="289" customFormat="false" ht="15" hidden="false" customHeight="false" outlineLevel="0" collapsed="false">
      <c r="H289" s="15"/>
      <c r="I289" s="15"/>
      <c r="J289" s="15"/>
    </row>
    <row r="290" customFormat="false" ht="15" hidden="false" customHeight="false" outlineLevel="0" collapsed="false">
      <c r="H290" s="15"/>
      <c r="I290" s="15"/>
      <c r="J290" s="15"/>
    </row>
    <row r="291" customFormat="false" ht="15" hidden="false" customHeight="false" outlineLevel="0" collapsed="false">
      <c r="H291" s="15"/>
      <c r="I291" s="15"/>
      <c r="J291" s="15"/>
    </row>
    <row r="292" customFormat="false" ht="15" hidden="false" customHeight="false" outlineLevel="0" collapsed="false">
      <c r="H292" s="15"/>
      <c r="I292" s="15"/>
      <c r="J292" s="15"/>
    </row>
    <row r="293" customFormat="false" ht="15" hidden="false" customHeight="false" outlineLevel="0" collapsed="false">
      <c r="H293" s="15"/>
      <c r="I293" s="15"/>
      <c r="J293" s="15"/>
    </row>
    <row r="294" customFormat="false" ht="15" hidden="false" customHeight="false" outlineLevel="0" collapsed="false">
      <c r="H294" s="15"/>
      <c r="I294" s="15"/>
      <c r="J294" s="15"/>
    </row>
    <row r="295" customFormat="false" ht="15" hidden="false" customHeight="false" outlineLevel="0" collapsed="false">
      <c r="H295" s="15"/>
      <c r="I295" s="15"/>
      <c r="J295" s="15"/>
    </row>
    <row r="296" customFormat="false" ht="15" hidden="false" customHeight="false" outlineLevel="0" collapsed="false">
      <c r="H296" s="15"/>
      <c r="I296" s="15"/>
      <c r="J296" s="15"/>
    </row>
    <row r="297" customFormat="false" ht="15" hidden="false" customHeight="false" outlineLevel="0" collapsed="false">
      <c r="H297" s="15"/>
      <c r="I297" s="15"/>
      <c r="J297" s="15"/>
    </row>
    <row r="298" customFormat="false" ht="15" hidden="false" customHeight="false" outlineLevel="0" collapsed="false">
      <c r="H298" s="15"/>
      <c r="I298" s="15"/>
      <c r="J298" s="15"/>
    </row>
    <row r="299" customFormat="false" ht="15" hidden="false" customHeight="false" outlineLevel="0" collapsed="false">
      <c r="H299" s="15"/>
      <c r="I299" s="15"/>
      <c r="J299" s="15"/>
    </row>
    <row r="300" customFormat="false" ht="15" hidden="false" customHeight="false" outlineLevel="0" collapsed="false">
      <c r="H300" s="15"/>
      <c r="I300" s="15"/>
      <c r="J300" s="15"/>
    </row>
    <row r="301" customFormat="false" ht="15" hidden="false" customHeight="false" outlineLevel="0" collapsed="false">
      <c r="H301" s="15"/>
      <c r="I301" s="15"/>
      <c r="J301" s="15"/>
    </row>
    <row r="302" customFormat="false" ht="15" hidden="false" customHeight="false" outlineLevel="0" collapsed="false">
      <c r="H302" s="15"/>
      <c r="I302" s="15"/>
      <c r="J302" s="15"/>
    </row>
    <row r="303" customFormat="false" ht="15" hidden="false" customHeight="false" outlineLevel="0" collapsed="false">
      <c r="H303" s="15"/>
      <c r="I303" s="15"/>
      <c r="J303" s="15"/>
    </row>
    <row r="304" customFormat="false" ht="15" hidden="false" customHeight="false" outlineLevel="0" collapsed="false">
      <c r="H304" s="15"/>
      <c r="I304" s="15"/>
      <c r="J304" s="15"/>
    </row>
    <row r="305" customFormat="false" ht="15" hidden="false" customHeight="false" outlineLevel="0" collapsed="false">
      <c r="H305" s="15"/>
      <c r="I305" s="15"/>
      <c r="J305" s="15"/>
    </row>
    <row r="306" customFormat="false" ht="15" hidden="false" customHeight="false" outlineLevel="0" collapsed="false">
      <c r="H306" s="15"/>
      <c r="I306" s="15"/>
      <c r="J306" s="15"/>
    </row>
    <row r="307" customFormat="false" ht="15" hidden="false" customHeight="false" outlineLevel="0" collapsed="false">
      <c r="H307" s="15"/>
      <c r="I307" s="15"/>
      <c r="J307" s="15"/>
    </row>
    <row r="308" customFormat="false" ht="15" hidden="false" customHeight="false" outlineLevel="0" collapsed="false">
      <c r="H308" s="15"/>
      <c r="I308" s="15"/>
      <c r="J308" s="15"/>
    </row>
    <row r="309" customFormat="false" ht="15" hidden="false" customHeight="false" outlineLevel="0" collapsed="false">
      <c r="H309" s="15"/>
      <c r="I309" s="15"/>
      <c r="J309" s="15"/>
    </row>
    <row r="310" customFormat="false" ht="15" hidden="false" customHeight="false" outlineLevel="0" collapsed="false">
      <c r="H310" s="15"/>
      <c r="I310" s="15"/>
      <c r="J310" s="15"/>
    </row>
    <row r="311" customFormat="false" ht="15" hidden="false" customHeight="false" outlineLevel="0" collapsed="false">
      <c r="H311" s="15"/>
      <c r="I311" s="15"/>
      <c r="J311" s="15"/>
    </row>
    <row r="312" customFormat="false" ht="15" hidden="false" customHeight="false" outlineLevel="0" collapsed="false">
      <c r="H312" s="15"/>
      <c r="I312" s="15"/>
      <c r="J312" s="15"/>
    </row>
    <row r="313" customFormat="false" ht="15" hidden="false" customHeight="false" outlineLevel="0" collapsed="false">
      <c r="H313" s="15"/>
      <c r="I313" s="15"/>
      <c r="J313" s="15"/>
    </row>
    <row r="314" customFormat="false" ht="15" hidden="false" customHeight="false" outlineLevel="0" collapsed="false">
      <c r="H314" s="15"/>
      <c r="I314" s="15"/>
      <c r="J314" s="15"/>
    </row>
    <row r="315" customFormat="false" ht="15" hidden="false" customHeight="false" outlineLevel="0" collapsed="false">
      <c r="H315" s="15"/>
      <c r="I315" s="15"/>
      <c r="J315" s="15"/>
    </row>
    <row r="316" customFormat="false" ht="15" hidden="false" customHeight="false" outlineLevel="0" collapsed="false">
      <c r="H316" s="15"/>
      <c r="I316" s="15"/>
      <c r="J316" s="15"/>
    </row>
    <row r="317" customFormat="false" ht="15" hidden="false" customHeight="false" outlineLevel="0" collapsed="false">
      <c r="H317" s="15"/>
      <c r="I317" s="15"/>
      <c r="J317" s="15"/>
    </row>
    <row r="318" customFormat="false" ht="15" hidden="false" customHeight="false" outlineLevel="0" collapsed="false">
      <c r="H318" s="15"/>
      <c r="I318" s="15"/>
      <c r="J318" s="15"/>
    </row>
    <row r="319" customFormat="false" ht="15" hidden="false" customHeight="false" outlineLevel="0" collapsed="false">
      <c r="H319" s="15"/>
      <c r="I319" s="15"/>
      <c r="J319" s="15"/>
    </row>
    <row r="320" customFormat="false" ht="15" hidden="false" customHeight="false" outlineLevel="0" collapsed="false">
      <c r="H320" s="15"/>
      <c r="I320" s="15"/>
      <c r="J320" s="15"/>
    </row>
    <row r="321" customFormat="false" ht="15" hidden="false" customHeight="false" outlineLevel="0" collapsed="false">
      <c r="H321" s="15"/>
      <c r="I321" s="15"/>
      <c r="J321" s="15"/>
    </row>
    <row r="322" customFormat="false" ht="15" hidden="false" customHeight="false" outlineLevel="0" collapsed="false">
      <c r="H322" s="15"/>
      <c r="I322" s="15"/>
      <c r="J322" s="15"/>
    </row>
    <row r="323" customFormat="false" ht="15" hidden="false" customHeight="false" outlineLevel="0" collapsed="false">
      <c r="H323" s="15"/>
      <c r="I323" s="15"/>
      <c r="J323" s="15"/>
    </row>
    <row r="324" customFormat="false" ht="15" hidden="false" customHeight="false" outlineLevel="0" collapsed="false">
      <c r="H324" s="15"/>
      <c r="I324" s="15"/>
      <c r="J324" s="15"/>
    </row>
    <row r="325" customFormat="false" ht="15" hidden="false" customHeight="false" outlineLevel="0" collapsed="false">
      <c r="H325" s="15"/>
      <c r="I325" s="15"/>
      <c r="J325" s="15"/>
    </row>
    <row r="326" customFormat="false" ht="15" hidden="false" customHeight="false" outlineLevel="0" collapsed="false">
      <c r="H326" s="15"/>
      <c r="I326" s="15"/>
      <c r="J326" s="15"/>
    </row>
    <row r="327" customFormat="false" ht="15" hidden="false" customHeight="false" outlineLevel="0" collapsed="false">
      <c r="H327" s="15"/>
      <c r="I327" s="15"/>
      <c r="J327" s="15"/>
    </row>
    <row r="328" customFormat="false" ht="15" hidden="false" customHeight="false" outlineLevel="0" collapsed="false">
      <c r="H328" s="15"/>
      <c r="I328" s="15"/>
      <c r="J328" s="15"/>
    </row>
    <row r="329" customFormat="false" ht="15" hidden="false" customHeight="false" outlineLevel="0" collapsed="false">
      <c r="H329" s="15"/>
      <c r="I329" s="15"/>
      <c r="J329" s="15"/>
    </row>
    <row r="330" customFormat="false" ht="15" hidden="false" customHeight="false" outlineLevel="0" collapsed="false">
      <c r="H330" s="15"/>
      <c r="I330" s="15"/>
      <c r="J330" s="15"/>
    </row>
    <row r="331" customFormat="false" ht="15" hidden="false" customHeight="false" outlineLevel="0" collapsed="false">
      <c r="H331" s="15"/>
      <c r="I331" s="15"/>
      <c r="J331" s="15"/>
    </row>
    <row r="332" customFormat="false" ht="15" hidden="false" customHeight="false" outlineLevel="0" collapsed="false">
      <c r="H332" s="15"/>
      <c r="I332" s="15"/>
      <c r="J332" s="15"/>
    </row>
    <row r="333" customFormat="false" ht="15" hidden="false" customHeight="false" outlineLevel="0" collapsed="false">
      <c r="H333" s="15"/>
      <c r="I333" s="15"/>
      <c r="J333" s="15"/>
    </row>
    <row r="334" customFormat="false" ht="15" hidden="false" customHeight="false" outlineLevel="0" collapsed="false">
      <c r="H334" s="15"/>
      <c r="I334" s="15"/>
      <c r="J334" s="15"/>
    </row>
    <row r="335" customFormat="false" ht="15" hidden="false" customHeight="false" outlineLevel="0" collapsed="false">
      <c r="H335" s="15"/>
      <c r="I335" s="15"/>
      <c r="J335" s="15"/>
    </row>
    <row r="336" customFormat="false" ht="15" hidden="false" customHeight="false" outlineLevel="0" collapsed="false">
      <c r="H336" s="15"/>
      <c r="I336" s="15"/>
      <c r="J336" s="15"/>
    </row>
    <row r="337" customFormat="false" ht="15" hidden="false" customHeight="false" outlineLevel="0" collapsed="false">
      <c r="H337" s="15"/>
      <c r="I337" s="15"/>
      <c r="J337" s="15"/>
    </row>
    <row r="338" customFormat="false" ht="15" hidden="false" customHeight="false" outlineLevel="0" collapsed="false">
      <c r="H338" s="15"/>
      <c r="I338" s="15"/>
      <c r="J338" s="15"/>
    </row>
    <row r="339" customFormat="false" ht="15" hidden="false" customHeight="false" outlineLevel="0" collapsed="false">
      <c r="H339" s="15"/>
      <c r="I339" s="15"/>
      <c r="J339" s="15"/>
    </row>
    <row r="340" customFormat="false" ht="15" hidden="false" customHeight="false" outlineLevel="0" collapsed="false">
      <c r="H340" s="15"/>
      <c r="I340" s="15"/>
      <c r="J340" s="15"/>
    </row>
    <row r="341" customFormat="false" ht="15" hidden="false" customHeight="false" outlineLevel="0" collapsed="false">
      <c r="H341" s="15"/>
      <c r="I341" s="15"/>
      <c r="J341" s="15"/>
    </row>
    <row r="342" customFormat="false" ht="15" hidden="false" customHeight="false" outlineLevel="0" collapsed="false">
      <c r="H342" s="15"/>
      <c r="I342" s="15"/>
      <c r="J342" s="15"/>
    </row>
    <row r="343" customFormat="false" ht="15" hidden="false" customHeight="false" outlineLevel="0" collapsed="false">
      <c r="H343" s="15"/>
      <c r="I343" s="15"/>
      <c r="J343" s="15"/>
    </row>
    <row r="344" customFormat="false" ht="15" hidden="false" customHeight="false" outlineLevel="0" collapsed="false">
      <c r="H344" s="15"/>
      <c r="I344" s="15"/>
      <c r="J344" s="15"/>
    </row>
    <row r="345" customFormat="false" ht="15" hidden="false" customHeight="false" outlineLevel="0" collapsed="false">
      <c r="H345" s="15"/>
      <c r="I345" s="15"/>
      <c r="J345" s="15"/>
    </row>
    <row r="346" customFormat="false" ht="15" hidden="false" customHeight="false" outlineLevel="0" collapsed="false">
      <c r="H346" s="15"/>
      <c r="I346" s="15"/>
      <c r="J346" s="15"/>
    </row>
    <row r="347" customFormat="false" ht="15" hidden="false" customHeight="false" outlineLevel="0" collapsed="false">
      <c r="H347" s="15"/>
      <c r="I347" s="15"/>
      <c r="J347" s="15"/>
    </row>
    <row r="348" customFormat="false" ht="15" hidden="false" customHeight="false" outlineLevel="0" collapsed="false">
      <c r="H348" s="15"/>
      <c r="I348" s="15"/>
      <c r="J348" s="15"/>
    </row>
    <row r="349" customFormat="false" ht="15" hidden="false" customHeight="false" outlineLevel="0" collapsed="false">
      <c r="H349" s="15"/>
      <c r="I349" s="15"/>
      <c r="J349" s="15"/>
    </row>
    <row r="350" customFormat="false" ht="15" hidden="false" customHeight="false" outlineLevel="0" collapsed="false">
      <c r="H350" s="15"/>
      <c r="I350" s="15"/>
      <c r="J350" s="15"/>
    </row>
    <row r="351" customFormat="false" ht="15" hidden="false" customHeight="false" outlineLevel="0" collapsed="false">
      <c r="H351" s="15"/>
      <c r="I351" s="15"/>
      <c r="J351" s="15"/>
    </row>
    <row r="352" customFormat="false" ht="15" hidden="false" customHeight="false" outlineLevel="0" collapsed="false">
      <c r="H352" s="15"/>
      <c r="I352" s="15"/>
      <c r="J352" s="15"/>
    </row>
    <row r="353" customFormat="false" ht="15" hidden="false" customHeight="false" outlineLevel="0" collapsed="false">
      <c r="H353" s="15"/>
      <c r="I353" s="15"/>
      <c r="J353" s="15"/>
    </row>
    <row r="354" customFormat="false" ht="15" hidden="false" customHeight="false" outlineLevel="0" collapsed="false">
      <c r="H354" s="15"/>
      <c r="I354" s="15"/>
      <c r="J354" s="15"/>
    </row>
    <row r="355" customFormat="false" ht="15" hidden="false" customHeight="false" outlineLevel="0" collapsed="false">
      <c r="H355" s="15"/>
      <c r="I355" s="15"/>
      <c r="J355" s="15"/>
    </row>
    <row r="356" customFormat="false" ht="15" hidden="false" customHeight="false" outlineLevel="0" collapsed="false">
      <c r="H356" s="15"/>
      <c r="I356" s="15"/>
      <c r="J356" s="15"/>
    </row>
    <row r="357" customFormat="false" ht="15" hidden="false" customHeight="false" outlineLevel="0" collapsed="false">
      <c r="H357" s="15"/>
      <c r="I357" s="15"/>
      <c r="J357" s="15"/>
    </row>
    <row r="358" customFormat="false" ht="15" hidden="false" customHeight="false" outlineLevel="0" collapsed="false">
      <c r="H358" s="15"/>
      <c r="I358" s="15"/>
      <c r="J358" s="15"/>
    </row>
    <row r="359" customFormat="false" ht="15" hidden="false" customHeight="false" outlineLevel="0" collapsed="false">
      <c r="H359" s="15"/>
      <c r="I359" s="15"/>
      <c r="J359" s="15"/>
    </row>
    <row r="360" customFormat="false" ht="15" hidden="false" customHeight="false" outlineLevel="0" collapsed="false">
      <c r="H360" s="15"/>
      <c r="I360" s="15"/>
      <c r="J360" s="15"/>
    </row>
    <row r="361" customFormat="false" ht="15" hidden="false" customHeight="false" outlineLevel="0" collapsed="false">
      <c r="H361" s="15"/>
      <c r="I361" s="15"/>
      <c r="J361" s="15"/>
    </row>
    <row r="362" customFormat="false" ht="15" hidden="false" customHeight="false" outlineLevel="0" collapsed="false">
      <c r="H362" s="15"/>
      <c r="I362" s="15"/>
      <c r="J362" s="15"/>
    </row>
    <row r="363" customFormat="false" ht="15" hidden="false" customHeight="false" outlineLevel="0" collapsed="false">
      <c r="H363" s="15"/>
      <c r="I363" s="15"/>
      <c r="J363" s="15"/>
    </row>
    <row r="364" customFormat="false" ht="15" hidden="false" customHeight="false" outlineLevel="0" collapsed="false">
      <c r="H364" s="15"/>
      <c r="I364" s="15"/>
      <c r="J364" s="15"/>
    </row>
    <row r="365" customFormat="false" ht="15" hidden="false" customHeight="false" outlineLevel="0" collapsed="false">
      <c r="H365" s="15"/>
      <c r="I365" s="15"/>
      <c r="J365" s="15"/>
    </row>
    <row r="366" customFormat="false" ht="15" hidden="false" customHeight="false" outlineLevel="0" collapsed="false">
      <c r="H366" s="15"/>
      <c r="I366" s="15"/>
      <c r="J366" s="15"/>
    </row>
    <row r="367" customFormat="false" ht="15" hidden="false" customHeight="false" outlineLevel="0" collapsed="false">
      <c r="H367" s="15"/>
      <c r="I367" s="15"/>
      <c r="J367" s="15"/>
    </row>
    <row r="368" customFormat="false" ht="15" hidden="false" customHeight="false" outlineLevel="0" collapsed="false">
      <c r="H368" s="15"/>
      <c r="I368" s="15"/>
      <c r="J368" s="15"/>
    </row>
    <row r="369" customFormat="false" ht="15" hidden="false" customHeight="false" outlineLevel="0" collapsed="false">
      <c r="H369" s="15"/>
      <c r="I369" s="15"/>
      <c r="J369" s="15"/>
    </row>
    <row r="370" customFormat="false" ht="15" hidden="false" customHeight="false" outlineLevel="0" collapsed="false">
      <c r="H370" s="15"/>
      <c r="I370" s="15"/>
      <c r="J370" s="15"/>
    </row>
    <row r="371" customFormat="false" ht="15" hidden="false" customHeight="false" outlineLevel="0" collapsed="false">
      <c r="H371" s="15"/>
      <c r="I371" s="15"/>
      <c r="J371" s="15"/>
    </row>
    <row r="372" customFormat="false" ht="15" hidden="false" customHeight="false" outlineLevel="0" collapsed="false">
      <c r="H372" s="15"/>
      <c r="I372" s="15"/>
      <c r="J372" s="15"/>
    </row>
    <row r="373" customFormat="false" ht="15" hidden="false" customHeight="false" outlineLevel="0" collapsed="false">
      <c r="H373" s="15"/>
      <c r="I373" s="15"/>
      <c r="J373" s="15"/>
    </row>
    <row r="374" customFormat="false" ht="15" hidden="false" customHeight="false" outlineLevel="0" collapsed="false">
      <c r="H374" s="15"/>
      <c r="I374" s="15"/>
      <c r="J374" s="15"/>
    </row>
    <row r="375" customFormat="false" ht="15" hidden="false" customHeight="false" outlineLevel="0" collapsed="false">
      <c r="H375" s="15"/>
      <c r="I375" s="15"/>
      <c r="J375" s="15"/>
    </row>
    <row r="376" customFormat="false" ht="15" hidden="false" customHeight="false" outlineLevel="0" collapsed="false">
      <c r="H376" s="15"/>
      <c r="I376" s="15"/>
      <c r="J376" s="15"/>
    </row>
    <row r="377" customFormat="false" ht="15" hidden="false" customHeight="false" outlineLevel="0" collapsed="false">
      <c r="H377" s="15"/>
      <c r="I377" s="15"/>
      <c r="J377" s="15"/>
    </row>
    <row r="378" customFormat="false" ht="15" hidden="false" customHeight="false" outlineLevel="0" collapsed="false">
      <c r="H378" s="15"/>
      <c r="I378" s="15"/>
      <c r="J378" s="15"/>
    </row>
    <row r="379" customFormat="false" ht="15" hidden="false" customHeight="false" outlineLevel="0" collapsed="false">
      <c r="H379" s="15"/>
      <c r="I379" s="15"/>
      <c r="J379" s="15"/>
    </row>
    <row r="380" customFormat="false" ht="15" hidden="false" customHeight="false" outlineLevel="0" collapsed="false">
      <c r="H380" s="15"/>
      <c r="I380" s="15"/>
      <c r="J380" s="15"/>
    </row>
    <row r="381" customFormat="false" ht="15" hidden="false" customHeight="false" outlineLevel="0" collapsed="false">
      <c r="H381" s="15"/>
      <c r="I381" s="15"/>
      <c r="J381" s="15"/>
    </row>
    <row r="382" customFormat="false" ht="15" hidden="false" customHeight="false" outlineLevel="0" collapsed="false">
      <c r="H382" s="15"/>
      <c r="I382" s="15"/>
      <c r="J382" s="15"/>
    </row>
    <row r="383" customFormat="false" ht="15" hidden="false" customHeight="false" outlineLevel="0" collapsed="false">
      <c r="H383" s="15"/>
      <c r="I383" s="15"/>
      <c r="J383" s="15"/>
    </row>
    <row r="384" customFormat="false" ht="15" hidden="false" customHeight="false" outlineLevel="0" collapsed="false">
      <c r="H384" s="15"/>
      <c r="I384" s="15"/>
      <c r="J384" s="15"/>
    </row>
    <row r="385" customFormat="false" ht="15" hidden="false" customHeight="false" outlineLevel="0" collapsed="false">
      <c r="H385" s="15"/>
      <c r="I385" s="15"/>
      <c r="J385" s="15"/>
    </row>
    <row r="386" customFormat="false" ht="15" hidden="false" customHeight="false" outlineLevel="0" collapsed="false">
      <c r="H386" s="15"/>
      <c r="I386" s="15"/>
      <c r="J386" s="15"/>
    </row>
    <row r="387" customFormat="false" ht="15" hidden="false" customHeight="false" outlineLevel="0" collapsed="false">
      <c r="H387" s="15"/>
      <c r="I387" s="15"/>
      <c r="J387" s="15"/>
    </row>
    <row r="388" customFormat="false" ht="15" hidden="false" customHeight="false" outlineLevel="0" collapsed="false">
      <c r="H388" s="15"/>
      <c r="I388" s="15"/>
      <c r="J388" s="15"/>
    </row>
    <row r="389" customFormat="false" ht="15" hidden="false" customHeight="false" outlineLevel="0" collapsed="false">
      <c r="H389" s="15"/>
      <c r="I389" s="15"/>
      <c r="J389" s="15"/>
    </row>
    <row r="390" customFormat="false" ht="15" hidden="false" customHeight="false" outlineLevel="0" collapsed="false">
      <c r="H390" s="15"/>
      <c r="I390" s="15"/>
      <c r="J390" s="15"/>
    </row>
    <row r="391" customFormat="false" ht="15" hidden="false" customHeight="false" outlineLevel="0" collapsed="false">
      <c r="H391" s="15"/>
      <c r="I391" s="15"/>
      <c r="J391" s="15"/>
    </row>
    <row r="392" customFormat="false" ht="15" hidden="false" customHeight="false" outlineLevel="0" collapsed="false">
      <c r="H392" s="15"/>
      <c r="I392" s="15"/>
      <c r="J392" s="15"/>
    </row>
    <row r="393" customFormat="false" ht="15" hidden="false" customHeight="false" outlineLevel="0" collapsed="false">
      <c r="H393" s="15"/>
      <c r="I393" s="15"/>
      <c r="J393" s="15"/>
    </row>
    <row r="394" customFormat="false" ht="15" hidden="false" customHeight="false" outlineLevel="0" collapsed="false">
      <c r="H394" s="15"/>
      <c r="I394" s="15"/>
      <c r="J394" s="15"/>
    </row>
    <row r="395" customFormat="false" ht="15" hidden="false" customHeight="false" outlineLevel="0" collapsed="false">
      <c r="H395" s="15"/>
      <c r="I395" s="15"/>
      <c r="J395" s="15"/>
    </row>
    <row r="396" customFormat="false" ht="15" hidden="false" customHeight="false" outlineLevel="0" collapsed="false">
      <c r="H396" s="15"/>
      <c r="I396" s="15"/>
      <c r="J396" s="15"/>
    </row>
    <row r="397" customFormat="false" ht="15" hidden="false" customHeight="false" outlineLevel="0" collapsed="false">
      <c r="H397" s="15"/>
      <c r="I397" s="15"/>
      <c r="J397" s="15"/>
    </row>
    <row r="398" customFormat="false" ht="15" hidden="false" customHeight="false" outlineLevel="0" collapsed="false">
      <c r="H398" s="15"/>
      <c r="I398" s="15"/>
      <c r="J398" s="15"/>
    </row>
    <row r="399" customFormat="false" ht="15" hidden="false" customHeight="false" outlineLevel="0" collapsed="false">
      <c r="H399" s="15"/>
      <c r="I399" s="15"/>
      <c r="J399" s="15"/>
    </row>
    <row r="400" customFormat="false" ht="15" hidden="false" customHeight="false" outlineLevel="0" collapsed="false">
      <c r="H400" s="15"/>
      <c r="I400" s="15"/>
      <c r="J400" s="15"/>
    </row>
    <row r="401" customFormat="false" ht="15" hidden="false" customHeight="false" outlineLevel="0" collapsed="false">
      <c r="H401" s="15"/>
      <c r="I401" s="15"/>
      <c r="J401" s="15"/>
    </row>
    <row r="402" customFormat="false" ht="15" hidden="false" customHeight="false" outlineLevel="0" collapsed="false">
      <c r="H402" s="15"/>
      <c r="I402" s="15"/>
      <c r="J402" s="15"/>
    </row>
    <row r="403" customFormat="false" ht="15" hidden="false" customHeight="false" outlineLevel="0" collapsed="false">
      <c r="H403" s="15"/>
      <c r="I403" s="15"/>
      <c r="J403" s="15"/>
    </row>
    <row r="404" customFormat="false" ht="15" hidden="false" customHeight="false" outlineLevel="0" collapsed="false">
      <c r="H404" s="15"/>
      <c r="I404" s="15"/>
      <c r="J404" s="15"/>
    </row>
    <row r="405" customFormat="false" ht="15" hidden="false" customHeight="false" outlineLevel="0" collapsed="false">
      <c r="H405" s="15"/>
      <c r="I405" s="15"/>
      <c r="J405" s="15"/>
    </row>
    <row r="406" customFormat="false" ht="15" hidden="false" customHeight="false" outlineLevel="0" collapsed="false">
      <c r="H406" s="15"/>
      <c r="I406" s="15"/>
      <c r="J406" s="15"/>
    </row>
    <row r="407" customFormat="false" ht="15" hidden="false" customHeight="false" outlineLevel="0" collapsed="false">
      <c r="H407" s="15"/>
      <c r="I407" s="15"/>
      <c r="J407" s="15"/>
    </row>
    <row r="408" customFormat="false" ht="15" hidden="false" customHeight="false" outlineLevel="0" collapsed="false">
      <c r="H408" s="15"/>
      <c r="I408" s="15"/>
      <c r="J408" s="15"/>
    </row>
    <row r="409" customFormat="false" ht="15" hidden="false" customHeight="false" outlineLevel="0" collapsed="false">
      <c r="H409" s="15"/>
      <c r="I409" s="15"/>
      <c r="J409" s="15"/>
    </row>
    <row r="410" customFormat="false" ht="15" hidden="false" customHeight="false" outlineLevel="0" collapsed="false">
      <c r="H410" s="15"/>
      <c r="I410" s="15"/>
      <c r="J410" s="15"/>
    </row>
    <row r="411" customFormat="false" ht="15" hidden="false" customHeight="false" outlineLevel="0" collapsed="false">
      <c r="H411" s="15"/>
      <c r="I411" s="15"/>
      <c r="J411" s="15"/>
    </row>
    <row r="412" customFormat="false" ht="15" hidden="false" customHeight="false" outlineLevel="0" collapsed="false">
      <c r="H412" s="15"/>
      <c r="I412" s="15"/>
      <c r="J412" s="15"/>
    </row>
    <row r="413" customFormat="false" ht="15" hidden="false" customHeight="false" outlineLevel="0" collapsed="false">
      <c r="H413" s="15"/>
      <c r="I413" s="15"/>
      <c r="J413" s="15"/>
    </row>
    <row r="414" customFormat="false" ht="15" hidden="false" customHeight="false" outlineLevel="0" collapsed="false">
      <c r="H414" s="15"/>
      <c r="I414" s="15"/>
      <c r="J414" s="15"/>
    </row>
    <row r="415" customFormat="false" ht="15" hidden="false" customHeight="false" outlineLevel="0" collapsed="false">
      <c r="H415" s="15"/>
      <c r="I415" s="15"/>
      <c r="J415" s="15"/>
    </row>
    <row r="416" customFormat="false" ht="15" hidden="false" customHeight="false" outlineLevel="0" collapsed="false">
      <c r="H416" s="15"/>
      <c r="I416" s="15"/>
      <c r="J416" s="15"/>
    </row>
    <row r="417" customFormat="false" ht="15" hidden="false" customHeight="false" outlineLevel="0" collapsed="false">
      <c r="H417" s="15"/>
      <c r="I417" s="15"/>
      <c r="J417" s="15"/>
    </row>
    <row r="418" customFormat="false" ht="15" hidden="false" customHeight="false" outlineLevel="0" collapsed="false">
      <c r="H418" s="15"/>
      <c r="I418" s="15"/>
      <c r="J418" s="15"/>
    </row>
    <row r="419" customFormat="false" ht="15" hidden="false" customHeight="false" outlineLevel="0" collapsed="false">
      <c r="H419" s="15"/>
      <c r="I419" s="15"/>
      <c r="J419" s="15"/>
    </row>
    <row r="420" customFormat="false" ht="15" hidden="false" customHeight="false" outlineLevel="0" collapsed="false">
      <c r="H420" s="15"/>
      <c r="I420" s="15"/>
      <c r="J420" s="15"/>
    </row>
    <row r="421" customFormat="false" ht="15" hidden="false" customHeight="false" outlineLevel="0" collapsed="false">
      <c r="H421" s="15"/>
      <c r="I421" s="15"/>
      <c r="J421" s="15"/>
    </row>
    <row r="422" customFormat="false" ht="15" hidden="false" customHeight="false" outlineLevel="0" collapsed="false">
      <c r="H422" s="15"/>
      <c r="I422" s="15"/>
      <c r="J422" s="15"/>
    </row>
    <row r="423" customFormat="false" ht="15" hidden="false" customHeight="false" outlineLevel="0" collapsed="false">
      <c r="H423" s="15"/>
      <c r="I423" s="15"/>
      <c r="J423" s="15"/>
    </row>
    <row r="424" customFormat="false" ht="15" hidden="false" customHeight="false" outlineLevel="0" collapsed="false">
      <c r="H424" s="15"/>
      <c r="I424" s="15"/>
      <c r="J424" s="15"/>
    </row>
    <row r="425" customFormat="false" ht="15" hidden="false" customHeight="false" outlineLevel="0" collapsed="false">
      <c r="H425" s="15"/>
      <c r="I425" s="15"/>
      <c r="J425" s="15"/>
    </row>
    <row r="426" customFormat="false" ht="15" hidden="false" customHeight="false" outlineLevel="0" collapsed="false">
      <c r="H426" s="15"/>
      <c r="I426" s="15"/>
      <c r="J426" s="15"/>
    </row>
    <row r="427" customFormat="false" ht="15" hidden="false" customHeight="false" outlineLevel="0" collapsed="false">
      <c r="H427" s="15"/>
      <c r="I427" s="15"/>
      <c r="J427" s="15"/>
    </row>
    <row r="428" customFormat="false" ht="15" hidden="false" customHeight="false" outlineLevel="0" collapsed="false">
      <c r="H428" s="15"/>
      <c r="I428" s="15"/>
      <c r="J428" s="15"/>
    </row>
    <row r="429" customFormat="false" ht="15" hidden="false" customHeight="false" outlineLevel="0" collapsed="false">
      <c r="H429" s="15"/>
      <c r="I429" s="15"/>
      <c r="J429" s="15"/>
    </row>
    <row r="430" customFormat="false" ht="15" hidden="false" customHeight="false" outlineLevel="0" collapsed="false">
      <c r="H430" s="15"/>
      <c r="I430" s="15"/>
      <c r="J430" s="15"/>
    </row>
    <row r="431" customFormat="false" ht="15" hidden="false" customHeight="false" outlineLevel="0" collapsed="false">
      <c r="H431" s="15"/>
      <c r="I431" s="15"/>
      <c r="J431" s="15"/>
    </row>
    <row r="432" customFormat="false" ht="15" hidden="false" customHeight="false" outlineLevel="0" collapsed="false">
      <c r="H432" s="15"/>
      <c r="I432" s="15"/>
      <c r="J432" s="15"/>
    </row>
    <row r="433" customFormat="false" ht="15" hidden="false" customHeight="false" outlineLevel="0" collapsed="false">
      <c r="H433" s="15"/>
      <c r="I433" s="15"/>
      <c r="J433" s="15"/>
    </row>
    <row r="434" customFormat="false" ht="15" hidden="false" customHeight="false" outlineLevel="0" collapsed="false">
      <c r="H434" s="15"/>
      <c r="I434" s="15"/>
      <c r="J434" s="15"/>
    </row>
    <row r="435" customFormat="false" ht="15" hidden="false" customHeight="false" outlineLevel="0" collapsed="false">
      <c r="H435" s="15"/>
      <c r="I435" s="15"/>
      <c r="J435" s="15"/>
    </row>
    <row r="436" customFormat="false" ht="15" hidden="false" customHeight="false" outlineLevel="0" collapsed="false">
      <c r="H436" s="15"/>
      <c r="I436" s="15"/>
      <c r="J436" s="15"/>
    </row>
    <row r="437" customFormat="false" ht="15" hidden="false" customHeight="false" outlineLevel="0" collapsed="false">
      <c r="H437" s="15"/>
      <c r="I437" s="15"/>
      <c r="J437" s="15"/>
    </row>
    <row r="438" customFormat="false" ht="15" hidden="false" customHeight="false" outlineLevel="0" collapsed="false">
      <c r="H438" s="15"/>
      <c r="I438" s="15"/>
      <c r="J438" s="15"/>
    </row>
    <row r="439" customFormat="false" ht="15" hidden="false" customHeight="false" outlineLevel="0" collapsed="false">
      <c r="H439" s="15"/>
      <c r="I439" s="15"/>
      <c r="J439" s="15"/>
    </row>
    <row r="440" customFormat="false" ht="15" hidden="false" customHeight="false" outlineLevel="0" collapsed="false">
      <c r="H440" s="15"/>
      <c r="I440" s="15"/>
      <c r="J440" s="15"/>
    </row>
    <row r="441" customFormat="false" ht="15" hidden="false" customHeight="false" outlineLevel="0" collapsed="false">
      <c r="H441" s="15"/>
      <c r="I441" s="15"/>
      <c r="J441" s="15"/>
    </row>
    <row r="442" customFormat="false" ht="15" hidden="false" customHeight="false" outlineLevel="0" collapsed="false">
      <c r="H442" s="15"/>
      <c r="I442" s="15"/>
      <c r="J442" s="15"/>
    </row>
    <row r="443" customFormat="false" ht="15" hidden="false" customHeight="false" outlineLevel="0" collapsed="false">
      <c r="H443" s="15"/>
      <c r="I443" s="15"/>
      <c r="J443" s="15"/>
    </row>
    <row r="444" customFormat="false" ht="15" hidden="false" customHeight="false" outlineLevel="0" collapsed="false">
      <c r="H444" s="15"/>
      <c r="I444" s="15"/>
      <c r="J444" s="15"/>
    </row>
    <row r="445" customFormat="false" ht="15" hidden="false" customHeight="false" outlineLevel="0" collapsed="false">
      <c r="H445" s="15"/>
      <c r="I445" s="15"/>
      <c r="J445" s="15"/>
    </row>
    <row r="446" customFormat="false" ht="15" hidden="false" customHeight="false" outlineLevel="0" collapsed="false">
      <c r="H446" s="15"/>
      <c r="I446" s="15"/>
      <c r="J446" s="15"/>
    </row>
    <row r="447" customFormat="false" ht="15" hidden="false" customHeight="false" outlineLevel="0" collapsed="false">
      <c r="H447" s="15"/>
      <c r="I447" s="15"/>
      <c r="J447" s="15"/>
    </row>
    <row r="448" customFormat="false" ht="15" hidden="false" customHeight="false" outlineLevel="0" collapsed="false">
      <c r="H448" s="15"/>
      <c r="I448" s="15"/>
      <c r="J448" s="15"/>
    </row>
    <row r="449" customFormat="false" ht="15" hidden="false" customHeight="false" outlineLevel="0" collapsed="false">
      <c r="H449" s="15"/>
      <c r="I449" s="15"/>
      <c r="J449" s="15"/>
    </row>
    <row r="450" customFormat="false" ht="15" hidden="false" customHeight="false" outlineLevel="0" collapsed="false">
      <c r="H450" s="15"/>
      <c r="I450" s="15"/>
      <c r="J450" s="15"/>
    </row>
    <row r="451" customFormat="false" ht="15" hidden="false" customHeight="false" outlineLevel="0" collapsed="false">
      <c r="H451" s="15"/>
      <c r="I451" s="15"/>
      <c r="J451" s="15"/>
    </row>
    <row r="452" customFormat="false" ht="15" hidden="false" customHeight="false" outlineLevel="0" collapsed="false">
      <c r="H452" s="15"/>
      <c r="I452" s="15"/>
      <c r="J452" s="15"/>
    </row>
    <row r="453" customFormat="false" ht="15" hidden="false" customHeight="false" outlineLevel="0" collapsed="false">
      <c r="H453" s="15"/>
      <c r="I453" s="15"/>
      <c r="J453" s="15"/>
    </row>
    <row r="454" customFormat="false" ht="15" hidden="false" customHeight="false" outlineLevel="0" collapsed="false">
      <c r="H454" s="15"/>
      <c r="I454" s="15"/>
      <c r="J454" s="15"/>
    </row>
    <row r="455" customFormat="false" ht="15" hidden="false" customHeight="false" outlineLevel="0" collapsed="false">
      <c r="H455" s="15"/>
      <c r="I455" s="15"/>
      <c r="J455" s="15"/>
    </row>
    <row r="456" customFormat="false" ht="15" hidden="false" customHeight="false" outlineLevel="0" collapsed="false">
      <c r="H456" s="15"/>
      <c r="I456" s="15"/>
      <c r="J456" s="15"/>
    </row>
    <row r="457" customFormat="false" ht="15" hidden="false" customHeight="false" outlineLevel="0" collapsed="false">
      <c r="H457" s="15"/>
      <c r="I457" s="15"/>
      <c r="J457" s="15"/>
    </row>
    <row r="458" customFormat="false" ht="15" hidden="false" customHeight="false" outlineLevel="0" collapsed="false">
      <c r="H458" s="15"/>
      <c r="I458" s="15"/>
      <c r="J458" s="15"/>
    </row>
    <row r="459" customFormat="false" ht="15" hidden="false" customHeight="false" outlineLevel="0" collapsed="false">
      <c r="H459" s="15"/>
      <c r="I459" s="15"/>
      <c r="J459" s="15"/>
    </row>
    <row r="460" customFormat="false" ht="15" hidden="false" customHeight="false" outlineLevel="0" collapsed="false">
      <c r="H460" s="15"/>
      <c r="I460" s="15"/>
      <c r="J460" s="15"/>
    </row>
    <row r="461" customFormat="false" ht="15" hidden="false" customHeight="false" outlineLevel="0" collapsed="false">
      <c r="H461" s="15"/>
      <c r="I461" s="15"/>
      <c r="J461" s="15"/>
    </row>
    <row r="462" customFormat="false" ht="15" hidden="false" customHeight="false" outlineLevel="0" collapsed="false">
      <c r="H462" s="15"/>
      <c r="I462" s="15"/>
      <c r="J462" s="15"/>
    </row>
    <row r="463" customFormat="false" ht="15" hidden="false" customHeight="false" outlineLevel="0" collapsed="false">
      <c r="H463" s="15"/>
      <c r="I463" s="15"/>
      <c r="J463" s="15"/>
    </row>
    <row r="464" customFormat="false" ht="15" hidden="false" customHeight="false" outlineLevel="0" collapsed="false">
      <c r="H464" s="15"/>
      <c r="I464" s="15"/>
      <c r="J464" s="15"/>
    </row>
    <row r="465" customFormat="false" ht="15" hidden="false" customHeight="false" outlineLevel="0" collapsed="false">
      <c r="H465" s="15"/>
      <c r="I465" s="15"/>
      <c r="J465" s="15"/>
    </row>
    <row r="466" customFormat="false" ht="15" hidden="false" customHeight="false" outlineLevel="0" collapsed="false">
      <c r="H466" s="15"/>
      <c r="I466" s="15"/>
      <c r="J466" s="15"/>
    </row>
    <row r="467" customFormat="false" ht="15" hidden="false" customHeight="false" outlineLevel="0" collapsed="false">
      <c r="H467" s="15"/>
      <c r="I467" s="15"/>
      <c r="J467" s="15"/>
    </row>
    <row r="468" customFormat="false" ht="15" hidden="false" customHeight="false" outlineLevel="0" collapsed="false">
      <c r="H468" s="15"/>
      <c r="I468" s="15"/>
      <c r="J468" s="15"/>
    </row>
    <row r="469" customFormat="false" ht="15" hidden="false" customHeight="false" outlineLevel="0" collapsed="false">
      <c r="H469" s="15"/>
      <c r="I469" s="15"/>
      <c r="J469" s="15"/>
    </row>
    <row r="470" customFormat="false" ht="15" hidden="false" customHeight="false" outlineLevel="0" collapsed="false">
      <c r="H470" s="15"/>
      <c r="I470" s="15"/>
      <c r="J470" s="15"/>
    </row>
    <row r="471" customFormat="false" ht="15" hidden="false" customHeight="false" outlineLevel="0" collapsed="false">
      <c r="H471" s="15"/>
      <c r="I471" s="15"/>
      <c r="J471" s="15"/>
    </row>
    <row r="472" customFormat="false" ht="15" hidden="false" customHeight="false" outlineLevel="0" collapsed="false">
      <c r="H472" s="15"/>
      <c r="I472" s="15"/>
      <c r="J472" s="15"/>
    </row>
    <row r="473" customFormat="false" ht="15" hidden="false" customHeight="false" outlineLevel="0" collapsed="false">
      <c r="H473" s="15"/>
      <c r="I473" s="15"/>
      <c r="J473" s="15"/>
    </row>
    <row r="474" customFormat="false" ht="15" hidden="false" customHeight="false" outlineLevel="0" collapsed="false">
      <c r="H474" s="15"/>
      <c r="I474" s="15"/>
      <c r="J474" s="15"/>
    </row>
    <row r="475" customFormat="false" ht="15" hidden="false" customHeight="false" outlineLevel="0" collapsed="false">
      <c r="H475" s="15"/>
      <c r="I475" s="15"/>
      <c r="J475" s="15"/>
    </row>
    <row r="476" customFormat="false" ht="15" hidden="false" customHeight="false" outlineLevel="0" collapsed="false">
      <c r="H476" s="15"/>
      <c r="I476" s="15"/>
      <c r="J476" s="15"/>
    </row>
    <row r="477" customFormat="false" ht="15" hidden="false" customHeight="false" outlineLevel="0" collapsed="false">
      <c r="H477" s="15"/>
      <c r="I477" s="15"/>
      <c r="J477" s="15"/>
    </row>
    <row r="478" customFormat="false" ht="15" hidden="false" customHeight="false" outlineLevel="0" collapsed="false">
      <c r="H478" s="15"/>
      <c r="I478" s="15"/>
      <c r="J478" s="15"/>
    </row>
    <row r="479" customFormat="false" ht="15" hidden="false" customHeight="false" outlineLevel="0" collapsed="false">
      <c r="H479" s="15"/>
      <c r="I479" s="15"/>
      <c r="J479" s="15"/>
    </row>
    <row r="480" customFormat="false" ht="15" hidden="false" customHeight="false" outlineLevel="0" collapsed="false">
      <c r="H480" s="15"/>
      <c r="I480" s="15"/>
      <c r="J480" s="15"/>
    </row>
    <row r="481" customFormat="false" ht="15" hidden="false" customHeight="false" outlineLevel="0" collapsed="false">
      <c r="H481" s="15"/>
      <c r="I481" s="15"/>
      <c r="J481" s="15"/>
    </row>
    <row r="482" customFormat="false" ht="15" hidden="false" customHeight="false" outlineLevel="0" collapsed="false">
      <c r="H482" s="15"/>
      <c r="I482" s="15"/>
      <c r="J482" s="15"/>
    </row>
    <row r="483" customFormat="false" ht="15" hidden="false" customHeight="false" outlineLevel="0" collapsed="false">
      <c r="H483" s="15"/>
      <c r="I483" s="15"/>
      <c r="J483" s="15"/>
    </row>
    <row r="484" customFormat="false" ht="15" hidden="false" customHeight="false" outlineLevel="0" collapsed="false">
      <c r="H484" s="15"/>
      <c r="I484" s="15"/>
      <c r="J484" s="15"/>
    </row>
    <row r="485" customFormat="false" ht="15" hidden="false" customHeight="false" outlineLevel="0" collapsed="false">
      <c r="H485" s="15"/>
      <c r="I485" s="15"/>
      <c r="J485" s="15"/>
    </row>
    <row r="486" customFormat="false" ht="15" hidden="false" customHeight="false" outlineLevel="0" collapsed="false">
      <c r="H486" s="15"/>
      <c r="I486" s="15"/>
      <c r="J486" s="15"/>
    </row>
    <row r="487" customFormat="false" ht="15" hidden="false" customHeight="false" outlineLevel="0" collapsed="false">
      <c r="H487" s="15"/>
      <c r="I487" s="15"/>
      <c r="J487" s="15"/>
    </row>
    <row r="488" customFormat="false" ht="15" hidden="false" customHeight="false" outlineLevel="0" collapsed="false">
      <c r="H488" s="15"/>
      <c r="I488" s="15"/>
      <c r="J488" s="15"/>
    </row>
    <row r="489" customFormat="false" ht="15" hidden="false" customHeight="false" outlineLevel="0" collapsed="false">
      <c r="H489" s="15"/>
      <c r="I489" s="15"/>
      <c r="J489" s="15"/>
    </row>
    <row r="490" customFormat="false" ht="15" hidden="false" customHeight="false" outlineLevel="0" collapsed="false">
      <c r="H490" s="15"/>
      <c r="I490" s="15"/>
      <c r="J490" s="15"/>
    </row>
    <row r="491" customFormat="false" ht="15" hidden="false" customHeight="false" outlineLevel="0" collapsed="false">
      <c r="H491" s="15"/>
      <c r="I491" s="15"/>
      <c r="J491" s="15"/>
    </row>
    <row r="492" customFormat="false" ht="15" hidden="false" customHeight="false" outlineLevel="0" collapsed="false">
      <c r="H492" s="15"/>
      <c r="I492" s="15"/>
      <c r="J492" s="15"/>
    </row>
    <row r="493" customFormat="false" ht="15" hidden="false" customHeight="false" outlineLevel="0" collapsed="false">
      <c r="H493" s="15"/>
      <c r="I493" s="15"/>
      <c r="J493" s="15"/>
    </row>
    <row r="494" customFormat="false" ht="15" hidden="false" customHeight="false" outlineLevel="0" collapsed="false">
      <c r="H494" s="15"/>
      <c r="I494" s="15"/>
      <c r="J494" s="15"/>
    </row>
    <row r="495" customFormat="false" ht="15" hidden="false" customHeight="false" outlineLevel="0" collapsed="false">
      <c r="H495" s="15"/>
      <c r="I495" s="15"/>
      <c r="J495" s="15"/>
    </row>
    <row r="496" customFormat="false" ht="15" hidden="false" customHeight="false" outlineLevel="0" collapsed="false">
      <c r="H496" s="15"/>
      <c r="I496" s="15"/>
      <c r="J496" s="15"/>
    </row>
    <row r="497" customFormat="false" ht="15" hidden="false" customHeight="false" outlineLevel="0" collapsed="false">
      <c r="H497" s="15"/>
      <c r="I497" s="15"/>
      <c r="J497" s="15"/>
    </row>
    <row r="498" customFormat="false" ht="15" hidden="false" customHeight="false" outlineLevel="0" collapsed="false">
      <c r="H498" s="15"/>
      <c r="I498" s="15"/>
      <c r="J498" s="15"/>
    </row>
    <row r="499" customFormat="false" ht="15" hidden="false" customHeight="false" outlineLevel="0" collapsed="false">
      <c r="H499" s="15"/>
      <c r="I499" s="15"/>
      <c r="J499" s="15"/>
    </row>
    <row r="500" customFormat="false" ht="15" hidden="false" customHeight="false" outlineLevel="0" collapsed="false">
      <c r="H500" s="15"/>
      <c r="I500" s="15"/>
      <c r="J500" s="15"/>
    </row>
    <row r="501" customFormat="false" ht="15" hidden="false" customHeight="false" outlineLevel="0" collapsed="false">
      <c r="H501" s="15"/>
      <c r="I501" s="15"/>
      <c r="J501" s="15"/>
    </row>
    <row r="502" customFormat="false" ht="15" hidden="false" customHeight="false" outlineLevel="0" collapsed="false">
      <c r="H502" s="15"/>
      <c r="I502" s="15"/>
      <c r="J502" s="15"/>
    </row>
    <row r="503" customFormat="false" ht="15" hidden="false" customHeight="false" outlineLevel="0" collapsed="false">
      <c r="H503" s="15"/>
      <c r="I503" s="15"/>
      <c r="J503" s="15"/>
    </row>
    <row r="504" customFormat="false" ht="15" hidden="false" customHeight="false" outlineLevel="0" collapsed="false">
      <c r="H504" s="15"/>
      <c r="I504" s="15"/>
      <c r="J504" s="15"/>
    </row>
  </sheetData>
  <dataValidations count="2">
    <dataValidation allowBlank="true" error="Kies een waarde uit de lijst." errorStyle="stop" errorTitle="Ongeldige invoer" operator="between" showDropDown="false" showErrorMessage="false" showInputMessage="false" sqref="G5:G504" type="list">
      <formula1>Keuzelijsten!$G$5:$G$200</formula1>
      <formula2>0</formula2>
    </dataValidation>
    <dataValidation allowBlank="true" error="Kies een waarde uit de lijst." errorStyle="stop" errorTitle="Ongeldige invoer" operator="between" showDropDown="false" showErrorMessage="false" showInputMessage="false" sqref="K5:K504" type="list">
      <formula1>Keuzelijsten!$Q$5:$Q$200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40"/>
    <col collapsed="false" customWidth="true" hidden="false" outlineLevel="0" max="13" min="12" style="0" width="14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18"/>
  </cols>
  <sheetData>
    <row r="1" customFormat="false" ht="22.05" hidden="false" customHeight="false" outlineLevel="0" collapsed="false">
      <c r="A1" s="6" t="s">
        <v>480</v>
      </c>
    </row>
    <row r="2" customFormat="false" ht="15" hidden="false" customHeight="false" outlineLevel="0" collapsed="false">
      <c r="A2" s="7" t="s">
        <v>481</v>
      </c>
    </row>
    <row r="4" customFormat="false" ht="33.75" hidden="false" customHeight="true" outlineLevel="0" collapsed="false">
      <c r="A4" s="26" t="s">
        <v>192</v>
      </c>
      <c r="B4" s="26" t="s">
        <v>194</v>
      </c>
      <c r="C4" s="26" t="s">
        <v>193</v>
      </c>
      <c r="D4" s="26" t="s">
        <v>201</v>
      </c>
      <c r="E4" s="26" t="s">
        <v>316</v>
      </c>
      <c r="F4" s="26" t="s">
        <v>482</v>
      </c>
      <c r="G4" s="26" t="s">
        <v>106</v>
      </c>
      <c r="H4" s="26" t="s">
        <v>90</v>
      </c>
      <c r="I4" s="26" t="s">
        <v>121</v>
      </c>
      <c r="J4" s="26" t="s">
        <v>14</v>
      </c>
      <c r="K4" s="26" t="s">
        <v>483</v>
      </c>
      <c r="L4" s="26" t="s">
        <v>484</v>
      </c>
      <c r="M4" s="26" t="s">
        <v>485</v>
      </c>
      <c r="N4" s="26" t="s">
        <v>486</v>
      </c>
      <c r="O4" s="26" t="s">
        <v>487</v>
      </c>
      <c r="P4" s="26" t="s">
        <v>208</v>
      </c>
    </row>
    <row r="5" customFormat="false" ht="15" hidden="false" customHeight="false" outlineLevel="0" collapsed="false">
      <c r="A5" s="27" t="str">
        <f aca="false">IFERROR(IF(INDEX(Leads!$A$5:$A$504,1)="","",INDEX(Leads!$A$5:$A$504,1)),"")</f>
        <v>LEAD-001</v>
      </c>
      <c r="B5" s="27" t="str">
        <f aca="false">IF($A5="","",INDEX(Leads!$C$5:$C$504,1))</f>
        <v>Ventura City</v>
      </c>
      <c r="C5" s="27" t="str">
        <f aca="false">IF($A5="","",INDEX(Leads!$B$5:$B$504,1))</f>
        <v>Vastgoedontwikkelaar</v>
      </c>
      <c r="D5" s="27" t="str">
        <f aca="false">IF($A5="","",INDEX(Leads!$J$5:$J$504,1))</f>
        <v>Opdracht</v>
      </c>
      <c r="E5" s="27" t="str">
        <f aca="false">IF($A5="","",INDEX(Leads!$L$5:$L$504,1))</f>
        <v>M2</v>
      </c>
      <c r="F5" s="27" t="n">
        <f aca="false">IF($A5="","",COUNTIFS(Voortgang!$B$5:$B$504,$A5))</f>
        <v>20</v>
      </c>
      <c r="G5" s="27" t="n">
        <f aca="false">IF($A5="","",COUNTIFS(Voortgang!$B$5:$B$504,$A5,Voortgang!$G$5:$G$504,"Gereed"))</f>
        <v>6</v>
      </c>
      <c r="H5" s="27" t="n">
        <f aca="false">IF($A5="","",COUNTIFS(Voortgang!$B$5:$B$504,$A5,Voortgang!$G$5:$G$504,"Loopt"))</f>
        <v>2</v>
      </c>
      <c r="I5" s="28" t="n">
        <f aca="false">IF($A5="","",COUNTIFS(Voortgang!$B$5:$B$504,$A5,Voortgang!$G$5:$G$504,"Geblokkeerd"))</f>
        <v>0</v>
      </c>
      <c r="J5" s="29" t="n">
        <f aca="false">IF($A5="","",IFERROR($G5/($F5-COUNTIFS(Voortgang!$B$5:$B$504,$A5,Voortgang!$G$5:$G$504,"Niet van toepassing")),""))</f>
        <v>0.3</v>
      </c>
      <c r="K5" s="27" t="str">
        <f aca="false">IF($A5="","",IFERROR(IF(_xlfn.MINIFS(Voortgang!$L$5:$L$504,Voortgang!$B$5:$B$504,$A5)=9999,"Alle stappen afgerond",INDEX(Voortgang!$E$5:$E$504,MATCH($A5&amp;"|"&amp;TEXT(_xlfn.MINIFS(Voortgang!$L$5:$L$504,Voortgang!$B$5:$B$504,$A5),"00"),Voortgang!$M$5:$M$504,0))),""))</f>
        <v>Bronnen opgevraagd en ontvangen</v>
      </c>
      <c r="L5" s="27" t="n">
        <f aca="false">IF($A5="","",COUNTIFS(Overeenkomsten!$B$5:$B$504,$A5,Overeenkomsten!$E$5:$E$504,"Getekend"))</f>
        <v>1</v>
      </c>
      <c r="M5" s="27" t="n">
        <f aca="false">IF($A5="","",COUNTIFS(Overeenkomsten!$B$5:$B$504,$A5)-$L5)</f>
        <v>1</v>
      </c>
      <c r="N5" s="27" t="n">
        <f aca="false">IF($A5="","",COUNTIFS(Bronnen!$B$5:$B$504,$A5,Bronnen!$H$5:$H$504,"Ontvangen")+COUNTIFS(Bronnen!$B$5:$B$504,$A5,Bronnen!$H$5:$H$504,"In analyse")+COUNTIFS(Bronnen!$B$5:$B$504,$A5,Bronnen!$H$5:$H$504,"Verwerkt"))</f>
        <v>1</v>
      </c>
      <c r="O5" s="27" t="n">
        <f aca="false">IF($A5="","",COUNTIFS(Bronnen!$B$5:$B$504,$A5,Bronnen!$H$5:$H$504,"Ontvangen")+COUNTIFS(Bronnen!$B$5:$B$504,$A5,Bronnen!$H$5:$H$504,"In analyse"))</f>
        <v>1</v>
      </c>
      <c r="P5" s="30" t="n">
        <f aca="false">IF($A5="","",INDEX(Leads!$Q$5:$Q$504,1))</f>
        <v>332400</v>
      </c>
    </row>
    <row r="6" customFormat="false" ht="15" hidden="false" customHeight="false" outlineLevel="0" collapsed="false">
      <c r="A6" s="27" t="str">
        <f aca="false">IFERROR(IF(INDEX(Leads!$A$5:$A$504,2)="","",INDEX(Leads!$A$5:$A$504,2)),"")</f>
        <v>LEAD-002</v>
      </c>
      <c r="B6" s="27" t="str">
        <f aca="false">IF($A6="","",INDEX(Leads!$C$5:$C$504,2))</f>
        <v>Bedrijventerrein Boekelermeer</v>
      </c>
      <c r="C6" s="27" t="str">
        <f aca="false">IF($A6="","",INDEX(Leads!$B$5:$B$504,2))</f>
        <v>Energiehub</v>
      </c>
      <c r="D6" s="27" t="str">
        <f aca="false">IF($A6="","",INDEX(Leads!$J$5:$J$504,2))</f>
        <v>In kwalificatie</v>
      </c>
      <c r="E6" s="27" t="str">
        <f aca="false">IF($A6="","",INDEX(Leads!$L$5:$L$504,2))</f>
        <v>M1</v>
      </c>
      <c r="F6" s="27" t="n">
        <f aca="false">IF($A6="","",COUNTIFS(Voortgang!$B$5:$B$504,$A6))</f>
        <v>19</v>
      </c>
      <c r="G6" s="27" t="n">
        <f aca="false">IF($A6="","",COUNTIFS(Voortgang!$B$5:$B$504,$A6,Voortgang!$G$5:$G$504,"Gereed"))</f>
        <v>1</v>
      </c>
      <c r="H6" s="27" t="n">
        <f aca="false">IF($A6="","",COUNTIFS(Voortgang!$B$5:$B$504,$A6,Voortgang!$G$5:$G$504,"Loopt"))</f>
        <v>2</v>
      </c>
      <c r="I6" s="28" t="n">
        <f aca="false">IF($A6="","",COUNTIFS(Voortgang!$B$5:$B$504,$A6,Voortgang!$G$5:$G$504,"Geblokkeerd"))</f>
        <v>0</v>
      </c>
      <c r="J6" s="29" t="n">
        <f aca="false">IF($A6="","",IFERROR($G6/($F6-COUNTIFS(Voortgang!$B$5:$B$504,$A6,Voortgang!$G$5:$G$504,"Niet van toepassing")),""))</f>
        <v>0.0526315789473684</v>
      </c>
      <c r="K6" s="27" t="str">
        <f aca="false">IF($A6="","",IFERROR(IF(_xlfn.MINIFS(Voortgang!$L$5:$L$504,Voortgang!$B$5:$B$504,$A6)=9999,"Alle stappen afgerond",INDEX(Voortgang!$E$5:$E$504,MATCH($A6&amp;"|"&amp;TEXT(_xlfn.MINIFS(Voortgang!$L$5:$L$504,Voortgang!$B$5:$B$504,$A6),"00"),Voortgang!$M$5:$M$504,0))),""))</f>
        <v>Kartrekker en deelnemers in beeld</v>
      </c>
      <c r="L6" s="27" t="n">
        <f aca="false">IF($A6="","",COUNTIFS(Overeenkomsten!$B$5:$B$504,$A6,Overeenkomsten!$E$5:$E$504,"Getekend"))</f>
        <v>0</v>
      </c>
      <c r="M6" s="27" t="n">
        <f aca="false">IF($A6="","",COUNTIFS(Overeenkomsten!$B$5:$B$504,$A6)-$L6)</f>
        <v>0</v>
      </c>
      <c r="N6" s="27" t="n">
        <f aca="false">IF($A6="","",COUNTIFS(Bronnen!$B$5:$B$504,$A6,Bronnen!$H$5:$H$504,"Ontvangen")+COUNTIFS(Bronnen!$B$5:$B$504,$A6,Bronnen!$H$5:$H$504,"In analyse")+COUNTIFS(Bronnen!$B$5:$B$504,$A6,Bronnen!$H$5:$H$504,"Verwerkt"))</f>
        <v>0</v>
      </c>
      <c r="O6" s="27" t="n">
        <f aca="false">IF($A6="","",COUNTIFS(Bronnen!$B$5:$B$504,$A6,Bronnen!$H$5:$H$504,"Ontvangen")+COUNTIFS(Bronnen!$B$5:$B$504,$A6,Bronnen!$H$5:$H$504,"In analyse"))</f>
        <v>0</v>
      </c>
      <c r="P6" s="30" t="n">
        <f aca="false">IF($A6="","",INDEX(Leads!$Q$5:$Q$504,2))</f>
        <v>70000</v>
      </c>
    </row>
    <row r="7" customFormat="false" ht="15" hidden="false" customHeight="false" outlineLevel="0" collapsed="false">
      <c r="A7" s="27" t="str">
        <f aca="false">IFERROR(IF(INDEX(Leads!$A$5:$A$504,3)="","",INDEX(Leads!$A$5:$A$504,3)),"")</f>
        <v/>
      </c>
      <c r="B7" s="27" t="str">
        <f aca="false">IF($A7="","",INDEX(Leads!$C$5:$C$504,3))</f>
        <v/>
      </c>
      <c r="C7" s="27" t="str">
        <f aca="false">IF($A7="","",INDEX(Leads!$B$5:$B$504,3))</f>
        <v/>
      </c>
      <c r="D7" s="27" t="str">
        <f aca="false">IF($A7="","",INDEX(Leads!$J$5:$J$504,3))</f>
        <v/>
      </c>
      <c r="E7" s="27" t="str">
        <f aca="false">IF($A7="","",INDEX(Leads!$L$5:$L$504,3))</f>
        <v/>
      </c>
      <c r="F7" s="27" t="str">
        <f aca="false">IF($A7="","",COUNTIFS(Voortgang!$B$5:$B$504,$A7))</f>
        <v/>
      </c>
      <c r="G7" s="27" t="str">
        <f aca="false">IF($A7="","",COUNTIFS(Voortgang!$B$5:$B$504,$A7,Voortgang!$G$5:$G$504,"Gereed"))</f>
        <v/>
      </c>
      <c r="H7" s="27" t="str">
        <f aca="false">IF($A7="","",COUNTIFS(Voortgang!$B$5:$B$504,$A7,Voortgang!$G$5:$G$504,"Loopt"))</f>
        <v/>
      </c>
      <c r="I7" s="28" t="str">
        <f aca="false">IF($A7="","",COUNTIFS(Voortgang!$B$5:$B$504,$A7,Voortgang!$G$5:$G$504,"Geblokkeerd"))</f>
        <v/>
      </c>
      <c r="J7" s="29" t="str">
        <f aca="false">IF($A7="","",IFERROR($G7/($F7-COUNTIFS(Voortgang!$B$5:$B$504,$A7,Voortgang!$G$5:$G$504,"Niet van toepassing")),""))</f>
        <v/>
      </c>
      <c r="K7" s="27" t="str">
        <f aca="false">IF($A7="","",IFERROR(IF(_xlfn.MINIFS(Voortgang!$L$5:$L$504,Voortgang!$B$5:$B$504,$A7)=9999,"Alle stappen afgerond",INDEX(Voortgang!$E$5:$E$504,MATCH($A7&amp;"|"&amp;TEXT(_xlfn.MINIFS(Voortgang!$L$5:$L$504,Voortgang!$B$5:$B$504,$A7),"00"),Voortgang!$M$5:$M$504,0))),""))</f>
        <v/>
      </c>
      <c r="L7" s="27" t="str">
        <f aca="false">IF($A7="","",COUNTIFS(Overeenkomsten!$B$5:$B$504,$A7,Overeenkomsten!$E$5:$E$504,"Getekend"))</f>
        <v/>
      </c>
      <c r="M7" s="27" t="str">
        <f aca="false">IF($A7="","",COUNTIFS(Overeenkomsten!$B$5:$B$504,$A7)-$L7)</f>
        <v/>
      </c>
      <c r="N7" s="27" t="str">
        <f aca="false">IF($A7="","",COUNTIFS(Bronnen!$B$5:$B$504,$A7,Bronnen!$H$5:$H$504,"Ontvangen")+COUNTIFS(Bronnen!$B$5:$B$504,$A7,Bronnen!$H$5:$H$504,"In analyse")+COUNTIFS(Bronnen!$B$5:$B$504,$A7,Bronnen!$H$5:$H$504,"Verwerkt"))</f>
        <v/>
      </c>
      <c r="O7" s="27" t="str">
        <f aca="false">IF($A7="","",COUNTIFS(Bronnen!$B$5:$B$504,$A7,Bronnen!$H$5:$H$504,"Ontvangen")+COUNTIFS(Bronnen!$B$5:$B$504,$A7,Bronnen!$H$5:$H$504,"In analyse"))</f>
        <v/>
      </c>
      <c r="P7" s="30" t="str">
        <f aca="false">IF($A7="","",INDEX(Leads!$Q$5:$Q$504,3))</f>
        <v/>
      </c>
    </row>
    <row r="8" customFormat="false" ht="15" hidden="false" customHeight="false" outlineLevel="0" collapsed="false">
      <c r="A8" s="27" t="str">
        <f aca="false">IFERROR(IF(INDEX(Leads!$A$5:$A$504,4)="","",INDEX(Leads!$A$5:$A$504,4)),"")</f>
        <v/>
      </c>
      <c r="B8" s="27" t="str">
        <f aca="false">IF($A8="","",INDEX(Leads!$C$5:$C$504,4))</f>
        <v/>
      </c>
      <c r="C8" s="27" t="str">
        <f aca="false">IF($A8="","",INDEX(Leads!$B$5:$B$504,4))</f>
        <v/>
      </c>
      <c r="D8" s="27" t="str">
        <f aca="false">IF($A8="","",INDEX(Leads!$J$5:$J$504,4))</f>
        <v/>
      </c>
      <c r="E8" s="27" t="str">
        <f aca="false">IF($A8="","",INDEX(Leads!$L$5:$L$504,4))</f>
        <v/>
      </c>
      <c r="F8" s="27" t="str">
        <f aca="false">IF($A8="","",COUNTIFS(Voortgang!$B$5:$B$504,$A8))</f>
        <v/>
      </c>
      <c r="G8" s="27" t="str">
        <f aca="false">IF($A8="","",COUNTIFS(Voortgang!$B$5:$B$504,$A8,Voortgang!$G$5:$G$504,"Gereed"))</f>
        <v/>
      </c>
      <c r="H8" s="27" t="str">
        <f aca="false">IF($A8="","",COUNTIFS(Voortgang!$B$5:$B$504,$A8,Voortgang!$G$5:$G$504,"Loopt"))</f>
        <v/>
      </c>
      <c r="I8" s="28" t="str">
        <f aca="false">IF($A8="","",COUNTIFS(Voortgang!$B$5:$B$504,$A8,Voortgang!$G$5:$G$504,"Geblokkeerd"))</f>
        <v/>
      </c>
      <c r="J8" s="29" t="str">
        <f aca="false">IF($A8="","",IFERROR($G8/($F8-COUNTIFS(Voortgang!$B$5:$B$504,$A8,Voortgang!$G$5:$G$504,"Niet van toepassing")),""))</f>
        <v/>
      </c>
      <c r="K8" s="27" t="str">
        <f aca="false">IF($A8="","",IFERROR(IF(_xlfn.MINIFS(Voortgang!$L$5:$L$504,Voortgang!$B$5:$B$504,$A8)=9999,"Alle stappen afgerond",INDEX(Voortgang!$E$5:$E$504,MATCH($A8&amp;"|"&amp;TEXT(_xlfn.MINIFS(Voortgang!$L$5:$L$504,Voortgang!$B$5:$B$504,$A8),"00"),Voortgang!$M$5:$M$504,0))),""))</f>
        <v/>
      </c>
      <c r="L8" s="27" t="str">
        <f aca="false">IF($A8="","",COUNTIFS(Overeenkomsten!$B$5:$B$504,$A8,Overeenkomsten!$E$5:$E$504,"Getekend"))</f>
        <v/>
      </c>
      <c r="M8" s="27" t="str">
        <f aca="false">IF($A8="","",COUNTIFS(Overeenkomsten!$B$5:$B$504,$A8)-$L8)</f>
        <v/>
      </c>
      <c r="N8" s="27" t="str">
        <f aca="false">IF($A8="","",COUNTIFS(Bronnen!$B$5:$B$504,$A8,Bronnen!$H$5:$H$504,"Ontvangen")+COUNTIFS(Bronnen!$B$5:$B$504,$A8,Bronnen!$H$5:$H$504,"In analyse")+COUNTIFS(Bronnen!$B$5:$B$504,$A8,Bronnen!$H$5:$H$504,"Verwerkt"))</f>
        <v/>
      </c>
      <c r="O8" s="27" t="str">
        <f aca="false">IF($A8="","",COUNTIFS(Bronnen!$B$5:$B$504,$A8,Bronnen!$H$5:$H$504,"Ontvangen")+COUNTIFS(Bronnen!$B$5:$B$504,$A8,Bronnen!$H$5:$H$504,"In analyse"))</f>
        <v/>
      </c>
      <c r="P8" s="30" t="str">
        <f aca="false">IF($A8="","",INDEX(Leads!$Q$5:$Q$504,4))</f>
        <v/>
      </c>
    </row>
    <row r="9" customFormat="false" ht="15" hidden="false" customHeight="false" outlineLevel="0" collapsed="false">
      <c r="A9" s="27" t="str">
        <f aca="false">IFERROR(IF(INDEX(Leads!$A$5:$A$504,5)="","",INDEX(Leads!$A$5:$A$504,5)),"")</f>
        <v/>
      </c>
      <c r="B9" s="27" t="str">
        <f aca="false">IF($A9="","",INDEX(Leads!$C$5:$C$504,5))</f>
        <v/>
      </c>
      <c r="C9" s="27" t="str">
        <f aca="false">IF($A9="","",INDEX(Leads!$B$5:$B$504,5))</f>
        <v/>
      </c>
      <c r="D9" s="27" t="str">
        <f aca="false">IF($A9="","",INDEX(Leads!$J$5:$J$504,5))</f>
        <v/>
      </c>
      <c r="E9" s="27" t="str">
        <f aca="false">IF($A9="","",INDEX(Leads!$L$5:$L$504,5))</f>
        <v/>
      </c>
      <c r="F9" s="27" t="str">
        <f aca="false">IF($A9="","",COUNTIFS(Voortgang!$B$5:$B$504,$A9))</f>
        <v/>
      </c>
      <c r="G9" s="27" t="str">
        <f aca="false">IF($A9="","",COUNTIFS(Voortgang!$B$5:$B$504,$A9,Voortgang!$G$5:$G$504,"Gereed"))</f>
        <v/>
      </c>
      <c r="H9" s="27" t="str">
        <f aca="false">IF($A9="","",COUNTIFS(Voortgang!$B$5:$B$504,$A9,Voortgang!$G$5:$G$504,"Loopt"))</f>
        <v/>
      </c>
      <c r="I9" s="28" t="str">
        <f aca="false">IF($A9="","",COUNTIFS(Voortgang!$B$5:$B$504,$A9,Voortgang!$G$5:$G$504,"Geblokkeerd"))</f>
        <v/>
      </c>
      <c r="J9" s="29" t="str">
        <f aca="false">IF($A9="","",IFERROR($G9/($F9-COUNTIFS(Voortgang!$B$5:$B$504,$A9,Voortgang!$G$5:$G$504,"Niet van toepassing")),""))</f>
        <v/>
      </c>
      <c r="K9" s="27" t="str">
        <f aca="false">IF($A9="","",IFERROR(IF(_xlfn.MINIFS(Voortgang!$L$5:$L$504,Voortgang!$B$5:$B$504,$A9)=9999,"Alle stappen afgerond",INDEX(Voortgang!$E$5:$E$504,MATCH($A9&amp;"|"&amp;TEXT(_xlfn.MINIFS(Voortgang!$L$5:$L$504,Voortgang!$B$5:$B$504,$A9),"00"),Voortgang!$M$5:$M$504,0))),""))</f>
        <v/>
      </c>
      <c r="L9" s="27" t="str">
        <f aca="false">IF($A9="","",COUNTIFS(Overeenkomsten!$B$5:$B$504,$A9,Overeenkomsten!$E$5:$E$504,"Getekend"))</f>
        <v/>
      </c>
      <c r="M9" s="27" t="str">
        <f aca="false">IF($A9="","",COUNTIFS(Overeenkomsten!$B$5:$B$504,$A9)-$L9)</f>
        <v/>
      </c>
      <c r="N9" s="27" t="str">
        <f aca="false">IF($A9="","",COUNTIFS(Bronnen!$B$5:$B$504,$A9,Bronnen!$H$5:$H$504,"Ontvangen")+COUNTIFS(Bronnen!$B$5:$B$504,$A9,Bronnen!$H$5:$H$504,"In analyse")+COUNTIFS(Bronnen!$B$5:$B$504,$A9,Bronnen!$H$5:$H$504,"Verwerkt"))</f>
        <v/>
      </c>
      <c r="O9" s="27" t="str">
        <f aca="false">IF($A9="","",COUNTIFS(Bronnen!$B$5:$B$504,$A9,Bronnen!$H$5:$H$504,"Ontvangen")+COUNTIFS(Bronnen!$B$5:$B$504,$A9,Bronnen!$H$5:$H$504,"In analyse"))</f>
        <v/>
      </c>
      <c r="P9" s="30" t="str">
        <f aca="false">IF($A9="","",INDEX(Leads!$Q$5:$Q$504,5))</f>
        <v/>
      </c>
    </row>
    <row r="10" customFormat="false" ht="15" hidden="false" customHeight="false" outlineLevel="0" collapsed="false">
      <c r="A10" s="27" t="str">
        <f aca="false">IFERROR(IF(INDEX(Leads!$A$5:$A$504,6)="","",INDEX(Leads!$A$5:$A$504,6)),"")</f>
        <v/>
      </c>
      <c r="B10" s="27" t="str">
        <f aca="false">IF($A10="","",INDEX(Leads!$C$5:$C$504,6))</f>
        <v/>
      </c>
      <c r="C10" s="27" t="str">
        <f aca="false">IF($A10="","",INDEX(Leads!$B$5:$B$504,6))</f>
        <v/>
      </c>
      <c r="D10" s="27" t="str">
        <f aca="false">IF($A10="","",INDEX(Leads!$J$5:$J$504,6))</f>
        <v/>
      </c>
      <c r="E10" s="27" t="str">
        <f aca="false">IF($A10="","",INDEX(Leads!$L$5:$L$504,6))</f>
        <v/>
      </c>
      <c r="F10" s="27" t="str">
        <f aca="false">IF($A10="","",COUNTIFS(Voortgang!$B$5:$B$504,$A10))</f>
        <v/>
      </c>
      <c r="G10" s="27" t="str">
        <f aca="false">IF($A10="","",COUNTIFS(Voortgang!$B$5:$B$504,$A10,Voortgang!$G$5:$G$504,"Gereed"))</f>
        <v/>
      </c>
      <c r="H10" s="27" t="str">
        <f aca="false">IF($A10="","",COUNTIFS(Voortgang!$B$5:$B$504,$A10,Voortgang!$G$5:$G$504,"Loopt"))</f>
        <v/>
      </c>
      <c r="I10" s="28" t="str">
        <f aca="false">IF($A10="","",COUNTIFS(Voortgang!$B$5:$B$504,$A10,Voortgang!$G$5:$G$504,"Geblokkeerd"))</f>
        <v/>
      </c>
      <c r="J10" s="29" t="str">
        <f aca="false">IF($A10="","",IFERROR($G10/($F10-COUNTIFS(Voortgang!$B$5:$B$504,$A10,Voortgang!$G$5:$G$504,"Niet van toepassing")),""))</f>
        <v/>
      </c>
      <c r="K10" s="27" t="str">
        <f aca="false">IF($A10="","",IFERROR(IF(_xlfn.MINIFS(Voortgang!$L$5:$L$504,Voortgang!$B$5:$B$504,$A10)=9999,"Alle stappen afgerond",INDEX(Voortgang!$E$5:$E$504,MATCH($A10&amp;"|"&amp;TEXT(_xlfn.MINIFS(Voortgang!$L$5:$L$504,Voortgang!$B$5:$B$504,$A10),"00"),Voortgang!$M$5:$M$504,0))),""))</f>
        <v/>
      </c>
      <c r="L10" s="27" t="str">
        <f aca="false">IF($A10="","",COUNTIFS(Overeenkomsten!$B$5:$B$504,$A10,Overeenkomsten!$E$5:$E$504,"Getekend"))</f>
        <v/>
      </c>
      <c r="M10" s="27" t="str">
        <f aca="false">IF($A10="","",COUNTIFS(Overeenkomsten!$B$5:$B$504,$A10)-$L10)</f>
        <v/>
      </c>
      <c r="N10" s="27" t="str">
        <f aca="false">IF($A10="","",COUNTIFS(Bronnen!$B$5:$B$504,$A10,Bronnen!$H$5:$H$504,"Ontvangen")+COUNTIFS(Bronnen!$B$5:$B$504,$A10,Bronnen!$H$5:$H$504,"In analyse")+COUNTIFS(Bronnen!$B$5:$B$504,$A10,Bronnen!$H$5:$H$504,"Verwerkt"))</f>
        <v/>
      </c>
      <c r="O10" s="27" t="str">
        <f aca="false">IF($A10="","",COUNTIFS(Bronnen!$B$5:$B$504,$A10,Bronnen!$H$5:$H$504,"Ontvangen")+COUNTIFS(Bronnen!$B$5:$B$504,$A10,Bronnen!$H$5:$H$504,"In analyse"))</f>
        <v/>
      </c>
      <c r="P10" s="30" t="str">
        <f aca="false">IF($A10="","",INDEX(Leads!$Q$5:$Q$504,6))</f>
        <v/>
      </c>
    </row>
    <row r="11" customFormat="false" ht="15" hidden="false" customHeight="false" outlineLevel="0" collapsed="false">
      <c r="A11" s="27" t="str">
        <f aca="false">IFERROR(IF(INDEX(Leads!$A$5:$A$504,7)="","",INDEX(Leads!$A$5:$A$504,7)),"")</f>
        <v/>
      </c>
      <c r="B11" s="27" t="str">
        <f aca="false">IF($A11="","",INDEX(Leads!$C$5:$C$504,7))</f>
        <v/>
      </c>
      <c r="C11" s="27" t="str">
        <f aca="false">IF($A11="","",INDEX(Leads!$B$5:$B$504,7))</f>
        <v/>
      </c>
      <c r="D11" s="27" t="str">
        <f aca="false">IF($A11="","",INDEX(Leads!$J$5:$J$504,7))</f>
        <v/>
      </c>
      <c r="E11" s="27" t="str">
        <f aca="false">IF($A11="","",INDEX(Leads!$L$5:$L$504,7))</f>
        <v/>
      </c>
      <c r="F11" s="27" t="str">
        <f aca="false">IF($A11="","",COUNTIFS(Voortgang!$B$5:$B$504,$A11))</f>
        <v/>
      </c>
      <c r="G11" s="27" t="str">
        <f aca="false">IF($A11="","",COUNTIFS(Voortgang!$B$5:$B$504,$A11,Voortgang!$G$5:$G$504,"Gereed"))</f>
        <v/>
      </c>
      <c r="H11" s="27" t="str">
        <f aca="false">IF($A11="","",COUNTIFS(Voortgang!$B$5:$B$504,$A11,Voortgang!$G$5:$G$504,"Loopt"))</f>
        <v/>
      </c>
      <c r="I11" s="28" t="str">
        <f aca="false">IF($A11="","",COUNTIFS(Voortgang!$B$5:$B$504,$A11,Voortgang!$G$5:$G$504,"Geblokkeerd"))</f>
        <v/>
      </c>
      <c r="J11" s="29" t="str">
        <f aca="false">IF($A11="","",IFERROR($G11/($F11-COUNTIFS(Voortgang!$B$5:$B$504,$A11,Voortgang!$G$5:$G$504,"Niet van toepassing")),""))</f>
        <v/>
      </c>
      <c r="K11" s="27" t="str">
        <f aca="false">IF($A11="","",IFERROR(IF(_xlfn.MINIFS(Voortgang!$L$5:$L$504,Voortgang!$B$5:$B$504,$A11)=9999,"Alle stappen afgerond",INDEX(Voortgang!$E$5:$E$504,MATCH($A11&amp;"|"&amp;TEXT(_xlfn.MINIFS(Voortgang!$L$5:$L$504,Voortgang!$B$5:$B$504,$A11),"00"),Voortgang!$M$5:$M$504,0))),""))</f>
        <v/>
      </c>
      <c r="L11" s="27" t="str">
        <f aca="false">IF($A11="","",COUNTIFS(Overeenkomsten!$B$5:$B$504,$A11,Overeenkomsten!$E$5:$E$504,"Getekend"))</f>
        <v/>
      </c>
      <c r="M11" s="27" t="str">
        <f aca="false">IF($A11="","",COUNTIFS(Overeenkomsten!$B$5:$B$504,$A11)-$L11)</f>
        <v/>
      </c>
      <c r="N11" s="27" t="str">
        <f aca="false">IF($A11="","",COUNTIFS(Bronnen!$B$5:$B$504,$A11,Bronnen!$H$5:$H$504,"Ontvangen")+COUNTIFS(Bronnen!$B$5:$B$504,$A11,Bronnen!$H$5:$H$504,"In analyse")+COUNTIFS(Bronnen!$B$5:$B$504,$A11,Bronnen!$H$5:$H$504,"Verwerkt"))</f>
        <v/>
      </c>
      <c r="O11" s="27" t="str">
        <f aca="false">IF($A11="","",COUNTIFS(Bronnen!$B$5:$B$504,$A11,Bronnen!$H$5:$H$504,"Ontvangen")+COUNTIFS(Bronnen!$B$5:$B$504,$A11,Bronnen!$H$5:$H$504,"In analyse"))</f>
        <v/>
      </c>
      <c r="P11" s="30" t="str">
        <f aca="false">IF($A11="","",INDEX(Leads!$Q$5:$Q$504,7))</f>
        <v/>
      </c>
    </row>
    <row r="12" customFormat="false" ht="15" hidden="false" customHeight="false" outlineLevel="0" collapsed="false">
      <c r="A12" s="27" t="str">
        <f aca="false">IFERROR(IF(INDEX(Leads!$A$5:$A$504,8)="","",INDEX(Leads!$A$5:$A$504,8)),"")</f>
        <v/>
      </c>
      <c r="B12" s="27" t="str">
        <f aca="false">IF($A12="","",INDEX(Leads!$C$5:$C$504,8))</f>
        <v/>
      </c>
      <c r="C12" s="27" t="str">
        <f aca="false">IF($A12="","",INDEX(Leads!$B$5:$B$504,8))</f>
        <v/>
      </c>
      <c r="D12" s="27" t="str">
        <f aca="false">IF($A12="","",INDEX(Leads!$J$5:$J$504,8))</f>
        <v/>
      </c>
      <c r="E12" s="27" t="str">
        <f aca="false">IF($A12="","",INDEX(Leads!$L$5:$L$504,8))</f>
        <v/>
      </c>
      <c r="F12" s="27" t="str">
        <f aca="false">IF($A12="","",COUNTIFS(Voortgang!$B$5:$B$504,$A12))</f>
        <v/>
      </c>
      <c r="G12" s="27" t="str">
        <f aca="false">IF($A12="","",COUNTIFS(Voortgang!$B$5:$B$504,$A12,Voortgang!$G$5:$G$504,"Gereed"))</f>
        <v/>
      </c>
      <c r="H12" s="27" t="str">
        <f aca="false">IF($A12="","",COUNTIFS(Voortgang!$B$5:$B$504,$A12,Voortgang!$G$5:$G$504,"Loopt"))</f>
        <v/>
      </c>
      <c r="I12" s="28" t="str">
        <f aca="false">IF($A12="","",COUNTIFS(Voortgang!$B$5:$B$504,$A12,Voortgang!$G$5:$G$504,"Geblokkeerd"))</f>
        <v/>
      </c>
      <c r="J12" s="29" t="str">
        <f aca="false">IF($A12="","",IFERROR($G12/($F12-COUNTIFS(Voortgang!$B$5:$B$504,$A12,Voortgang!$G$5:$G$504,"Niet van toepassing")),""))</f>
        <v/>
      </c>
      <c r="K12" s="27" t="str">
        <f aca="false">IF($A12="","",IFERROR(IF(_xlfn.MINIFS(Voortgang!$L$5:$L$504,Voortgang!$B$5:$B$504,$A12)=9999,"Alle stappen afgerond",INDEX(Voortgang!$E$5:$E$504,MATCH($A12&amp;"|"&amp;TEXT(_xlfn.MINIFS(Voortgang!$L$5:$L$504,Voortgang!$B$5:$B$504,$A12),"00"),Voortgang!$M$5:$M$504,0))),""))</f>
        <v/>
      </c>
      <c r="L12" s="27" t="str">
        <f aca="false">IF($A12="","",COUNTIFS(Overeenkomsten!$B$5:$B$504,$A12,Overeenkomsten!$E$5:$E$504,"Getekend"))</f>
        <v/>
      </c>
      <c r="M12" s="27" t="str">
        <f aca="false">IF($A12="","",COUNTIFS(Overeenkomsten!$B$5:$B$504,$A12)-$L12)</f>
        <v/>
      </c>
      <c r="N12" s="27" t="str">
        <f aca="false">IF($A12="","",COUNTIFS(Bronnen!$B$5:$B$504,$A12,Bronnen!$H$5:$H$504,"Ontvangen")+COUNTIFS(Bronnen!$B$5:$B$504,$A12,Bronnen!$H$5:$H$504,"In analyse")+COUNTIFS(Bronnen!$B$5:$B$504,$A12,Bronnen!$H$5:$H$504,"Verwerkt"))</f>
        <v/>
      </c>
      <c r="O12" s="27" t="str">
        <f aca="false">IF($A12="","",COUNTIFS(Bronnen!$B$5:$B$504,$A12,Bronnen!$H$5:$H$504,"Ontvangen")+COUNTIFS(Bronnen!$B$5:$B$504,$A12,Bronnen!$H$5:$H$504,"In analyse"))</f>
        <v/>
      </c>
      <c r="P12" s="30" t="str">
        <f aca="false">IF($A12="","",INDEX(Leads!$Q$5:$Q$504,8))</f>
        <v/>
      </c>
    </row>
    <row r="13" customFormat="false" ht="15" hidden="false" customHeight="false" outlineLevel="0" collapsed="false">
      <c r="A13" s="27" t="str">
        <f aca="false">IFERROR(IF(INDEX(Leads!$A$5:$A$504,9)="","",INDEX(Leads!$A$5:$A$504,9)),"")</f>
        <v/>
      </c>
      <c r="B13" s="27" t="str">
        <f aca="false">IF($A13="","",INDEX(Leads!$C$5:$C$504,9))</f>
        <v/>
      </c>
      <c r="C13" s="27" t="str">
        <f aca="false">IF($A13="","",INDEX(Leads!$B$5:$B$504,9))</f>
        <v/>
      </c>
      <c r="D13" s="27" t="str">
        <f aca="false">IF($A13="","",INDEX(Leads!$J$5:$J$504,9))</f>
        <v/>
      </c>
      <c r="E13" s="27" t="str">
        <f aca="false">IF($A13="","",INDEX(Leads!$L$5:$L$504,9))</f>
        <v/>
      </c>
      <c r="F13" s="27" t="str">
        <f aca="false">IF($A13="","",COUNTIFS(Voortgang!$B$5:$B$504,$A13))</f>
        <v/>
      </c>
      <c r="G13" s="27" t="str">
        <f aca="false">IF($A13="","",COUNTIFS(Voortgang!$B$5:$B$504,$A13,Voortgang!$G$5:$G$504,"Gereed"))</f>
        <v/>
      </c>
      <c r="H13" s="27" t="str">
        <f aca="false">IF($A13="","",COUNTIFS(Voortgang!$B$5:$B$504,$A13,Voortgang!$G$5:$G$504,"Loopt"))</f>
        <v/>
      </c>
      <c r="I13" s="28" t="str">
        <f aca="false">IF($A13="","",COUNTIFS(Voortgang!$B$5:$B$504,$A13,Voortgang!$G$5:$G$504,"Geblokkeerd"))</f>
        <v/>
      </c>
      <c r="J13" s="29" t="str">
        <f aca="false">IF($A13="","",IFERROR($G13/($F13-COUNTIFS(Voortgang!$B$5:$B$504,$A13,Voortgang!$G$5:$G$504,"Niet van toepassing")),""))</f>
        <v/>
      </c>
      <c r="K13" s="27" t="str">
        <f aca="false">IF($A13="","",IFERROR(IF(_xlfn.MINIFS(Voortgang!$L$5:$L$504,Voortgang!$B$5:$B$504,$A13)=9999,"Alle stappen afgerond",INDEX(Voortgang!$E$5:$E$504,MATCH($A13&amp;"|"&amp;TEXT(_xlfn.MINIFS(Voortgang!$L$5:$L$504,Voortgang!$B$5:$B$504,$A13),"00"),Voortgang!$M$5:$M$504,0))),""))</f>
        <v/>
      </c>
      <c r="L13" s="27" t="str">
        <f aca="false">IF($A13="","",COUNTIFS(Overeenkomsten!$B$5:$B$504,$A13,Overeenkomsten!$E$5:$E$504,"Getekend"))</f>
        <v/>
      </c>
      <c r="M13" s="27" t="str">
        <f aca="false">IF($A13="","",COUNTIFS(Overeenkomsten!$B$5:$B$504,$A13)-$L13)</f>
        <v/>
      </c>
      <c r="N13" s="27" t="str">
        <f aca="false">IF($A13="","",COUNTIFS(Bronnen!$B$5:$B$504,$A13,Bronnen!$H$5:$H$504,"Ontvangen")+COUNTIFS(Bronnen!$B$5:$B$504,$A13,Bronnen!$H$5:$H$504,"In analyse")+COUNTIFS(Bronnen!$B$5:$B$504,$A13,Bronnen!$H$5:$H$504,"Verwerkt"))</f>
        <v/>
      </c>
      <c r="O13" s="27" t="str">
        <f aca="false">IF($A13="","",COUNTIFS(Bronnen!$B$5:$B$504,$A13,Bronnen!$H$5:$H$504,"Ontvangen")+COUNTIFS(Bronnen!$B$5:$B$504,$A13,Bronnen!$H$5:$H$504,"In analyse"))</f>
        <v/>
      </c>
      <c r="P13" s="30" t="str">
        <f aca="false">IF($A13="","",INDEX(Leads!$Q$5:$Q$504,9))</f>
        <v/>
      </c>
    </row>
    <row r="14" customFormat="false" ht="15" hidden="false" customHeight="false" outlineLevel="0" collapsed="false">
      <c r="A14" s="27" t="str">
        <f aca="false">IFERROR(IF(INDEX(Leads!$A$5:$A$504,10)="","",INDEX(Leads!$A$5:$A$504,10)),"")</f>
        <v/>
      </c>
      <c r="B14" s="27" t="str">
        <f aca="false">IF($A14="","",INDEX(Leads!$C$5:$C$504,10))</f>
        <v/>
      </c>
      <c r="C14" s="27" t="str">
        <f aca="false">IF($A14="","",INDEX(Leads!$B$5:$B$504,10))</f>
        <v/>
      </c>
      <c r="D14" s="27" t="str">
        <f aca="false">IF($A14="","",INDEX(Leads!$J$5:$J$504,10))</f>
        <v/>
      </c>
      <c r="E14" s="27" t="str">
        <f aca="false">IF($A14="","",INDEX(Leads!$L$5:$L$504,10))</f>
        <v/>
      </c>
      <c r="F14" s="27" t="str">
        <f aca="false">IF($A14="","",COUNTIFS(Voortgang!$B$5:$B$504,$A14))</f>
        <v/>
      </c>
      <c r="G14" s="27" t="str">
        <f aca="false">IF($A14="","",COUNTIFS(Voortgang!$B$5:$B$504,$A14,Voortgang!$G$5:$G$504,"Gereed"))</f>
        <v/>
      </c>
      <c r="H14" s="27" t="str">
        <f aca="false">IF($A14="","",COUNTIFS(Voortgang!$B$5:$B$504,$A14,Voortgang!$G$5:$G$504,"Loopt"))</f>
        <v/>
      </c>
      <c r="I14" s="28" t="str">
        <f aca="false">IF($A14="","",COUNTIFS(Voortgang!$B$5:$B$504,$A14,Voortgang!$G$5:$G$504,"Geblokkeerd"))</f>
        <v/>
      </c>
      <c r="J14" s="29" t="str">
        <f aca="false">IF($A14="","",IFERROR($G14/($F14-COUNTIFS(Voortgang!$B$5:$B$504,$A14,Voortgang!$G$5:$G$504,"Niet van toepassing")),""))</f>
        <v/>
      </c>
      <c r="K14" s="27" t="str">
        <f aca="false">IF($A14="","",IFERROR(IF(_xlfn.MINIFS(Voortgang!$L$5:$L$504,Voortgang!$B$5:$B$504,$A14)=9999,"Alle stappen afgerond",INDEX(Voortgang!$E$5:$E$504,MATCH($A14&amp;"|"&amp;TEXT(_xlfn.MINIFS(Voortgang!$L$5:$L$504,Voortgang!$B$5:$B$504,$A14),"00"),Voortgang!$M$5:$M$504,0))),""))</f>
        <v/>
      </c>
      <c r="L14" s="27" t="str">
        <f aca="false">IF($A14="","",COUNTIFS(Overeenkomsten!$B$5:$B$504,$A14,Overeenkomsten!$E$5:$E$504,"Getekend"))</f>
        <v/>
      </c>
      <c r="M14" s="27" t="str">
        <f aca="false">IF($A14="","",COUNTIFS(Overeenkomsten!$B$5:$B$504,$A14)-$L14)</f>
        <v/>
      </c>
      <c r="N14" s="27" t="str">
        <f aca="false">IF($A14="","",COUNTIFS(Bronnen!$B$5:$B$504,$A14,Bronnen!$H$5:$H$504,"Ontvangen")+COUNTIFS(Bronnen!$B$5:$B$504,$A14,Bronnen!$H$5:$H$504,"In analyse")+COUNTIFS(Bronnen!$B$5:$B$504,$A14,Bronnen!$H$5:$H$504,"Verwerkt"))</f>
        <v/>
      </c>
      <c r="O14" s="27" t="str">
        <f aca="false">IF($A14="","",COUNTIFS(Bronnen!$B$5:$B$504,$A14,Bronnen!$H$5:$H$504,"Ontvangen")+COUNTIFS(Bronnen!$B$5:$B$504,$A14,Bronnen!$H$5:$H$504,"In analyse"))</f>
        <v/>
      </c>
      <c r="P14" s="30" t="str">
        <f aca="false">IF($A14="","",INDEX(Leads!$Q$5:$Q$504,10))</f>
        <v/>
      </c>
    </row>
    <row r="15" customFormat="false" ht="15" hidden="false" customHeight="false" outlineLevel="0" collapsed="false">
      <c r="A15" s="27" t="str">
        <f aca="false">IFERROR(IF(INDEX(Leads!$A$5:$A$504,11)="","",INDEX(Leads!$A$5:$A$504,11)),"")</f>
        <v/>
      </c>
      <c r="B15" s="27" t="str">
        <f aca="false">IF($A15="","",INDEX(Leads!$C$5:$C$504,11))</f>
        <v/>
      </c>
      <c r="C15" s="27" t="str">
        <f aca="false">IF($A15="","",INDEX(Leads!$B$5:$B$504,11))</f>
        <v/>
      </c>
      <c r="D15" s="27" t="str">
        <f aca="false">IF($A15="","",INDEX(Leads!$J$5:$J$504,11))</f>
        <v/>
      </c>
      <c r="E15" s="27" t="str">
        <f aca="false">IF($A15="","",INDEX(Leads!$L$5:$L$504,11))</f>
        <v/>
      </c>
      <c r="F15" s="27" t="str">
        <f aca="false">IF($A15="","",COUNTIFS(Voortgang!$B$5:$B$504,$A15))</f>
        <v/>
      </c>
      <c r="G15" s="27" t="str">
        <f aca="false">IF($A15="","",COUNTIFS(Voortgang!$B$5:$B$504,$A15,Voortgang!$G$5:$G$504,"Gereed"))</f>
        <v/>
      </c>
      <c r="H15" s="27" t="str">
        <f aca="false">IF($A15="","",COUNTIFS(Voortgang!$B$5:$B$504,$A15,Voortgang!$G$5:$G$504,"Loopt"))</f>
        <v/>
      </c>
      <c r="I15" s="28" t="str">
        <f aca="false">IF($A15="","",COUNTIFS(Voortgang!$B$5:$B$504,$A15,Voortgang!$G$5:$G$504,"Geblokkeerd"))</f>
        <v/>
      </c>
      <c r="J15" s="29" t="str">
        <f aca="false">IF($A15="","",IFERROR($G15/($F15-COUNTIFS(Voortgang!$B$5:$B$504,$A15,Voortgang!$G$5:$G$504,"Niet van toepassing")),""))</f>
        <v/>
      </c>
      <c r="K15" s="27" t="str">
        <f aca="false">IF($A15="","",IFERROR(IF(_xlfn.MINIFS(Voortgang!$L$5:$L$504,Voortgang!$B$5:$B$504,$A15)=9999,"Alle stappen afgerond",INDEX(Voortgang!$E$5:$E$504,MATCH($A15&amp;"|"&amp;TEXT(_xlfn.MINIFS(Voortgang!$L$5:$L$504,Voortgang!$B$5:$B$504,$A15),"00"),Voortgang!$M$5:$M$504,0))),""))</f>
        <v/>
      </c>
      <c r="L15" s="27" t="str">
        <f aca="false">IF($A15="","",COUNTIFS(Overeenkomsten!$B$5:$B$504,$A15,Overeenkomsten!$E$5:$E$504,"Getekend"))</f>
        <v/>
      </c>
      <c r="M15" s="27" t="str">
        <f aca="false">IF($A15="","",COUNTIFS(Overeenkomsten!$B$5:$B$504,$A15)-$L15)</f>
        <v/>
      </c>
      <c r="N15" s="27" t="str">
        <f aca="false">IF($A15="","",COUNTIFS(Bronnen!$B$5:$B$504,$A15,Bronnen!$H$5:$H$504,"Ontvangen")+COUNTIFS(Bronnen!$B$5:$B$504,$A15,Bronnen!$H$5:$H$504,"In analyse")+COUNTIFS(Bronnen!$B$5:$B$504,$A15,Bronnen!$H$5:$H$504,"Verwerkt"))</f>
        <v/>
      </c>
      <c r="O15" s="27" t="str">
        <f aca="false">IF($A15="","",COUNTIFS(Bronnen!$B$5:$B$504,$A15,Bronnen!$H$5:$H$504,"Ontvangen")+COUNTIFS(Bronnen!$B$5:$B$504,$A15,Bronnen!$H$5:$H$504,"In analyse"))</f>
        <v/>
      </c>
      <c r="P15" s="30" t="str">
        <f aca="false">IF($A15="","",INDEX(Leads!$Q$5:$Q$504,11))</f>
        <v/>
      </c>
    </row>
    <row r="16" customFormat="false" ht="15" hidden="false" customHeight="false" outlineLevel="0" collapsed="false">
      <c r="A16" s="27" t="str">
        <f aca="false">IFERROR(IF(INDEX(Leads!$A$5:$A$504,12)="","",INDEX(Leads!$A$5:$A$504,12)),"")</f>
        <v/>
      </c>
      <c r="B16" s="27" t="str">
        <f aca="false">IF($A16="","",INDEX(Leads!$C$5:$C$504,12))</f>
        <v/>
      </c>
      <c r="C16" s="27" t="str">
        <f aca="false">IF($A16="","",INDEX(Leads!$B$5:$B$504,12))</f>
        <v/>
      </c>
      <c r="D16" s="27" t="str">
        <f aca="false">IF($A16="","",INDEX(Leads!$J$5:$J$504,12))</f>
        <v/>
      </c>
      <c r="E16" s="27" t="str">
        <f aca="false">IF($A16="","",INDEX(Leads!$L$5:$L$504,12))</f>
        <v/>
      </c>
      <c r="F16" s="27" t="str">
        <f aca="false">IF($A16="","",COUNTIFS(Voortgang!$B$5:$B$504,$A16))</f>
        <v/>
      </c>
      <c r="G16" s="27" t="str">
        <f aca="false">IF($A16="","",COUNTIFS(Voortgang!$B$5:$B$504,$A16,Voortgang!$G$5:$G$504,"Gereed"))</f>
        <v/>
      </c>
      <c r="H16" s="27" t="str">
        <f aca="false">IF($A16="","",COUNTIFS(Voortgang!$B$5:$B$504,$A16,Voortgang!$G$5:$G$504,"Loopt"))</f>
        <v/>
      </c>
      <c r="I16" s="28" t="str">
        <f aca="false">IF($A16="","",COUNTIFS(Voortgang!$B$5:$B$504,$A16,Voortgang!$G$5:$G$504,"Geblokkeerd"))</f>
        <v/>
      </c>
      <c r="J16" s="29" t="str">
        <f aca="false">IF($A16="","",IFERROR($G16/($F16-COUNTIFS(Voortgang!$B$5:$B$504,$A16,Voortgang!$G$5:$G$504,"Niet van toepassing")),""))</f>
        <v/>
      </c>
      <c r="K16" s="27" t="str">
        <f aca="false">IF($A16="","",IFERROR(IF(_xlfn.MINIFS(Voortgang!$L$5:$L$504,Voortgang!$B$5:$B$504,$A16)=9999,"Alle stappen afgerond",INDEX(Voortgang!$E$5:$E$504,MATCH($A16&amp;"|"&amp;TEXT(_xlfn.MINIFS(Voortgang!$L$5:$L$504,Voortgang!$B$5:$B$504,$A16),"00"),Voortgang!$M$5:$M$504,0))),""))</f>
        <v/>
      </c>
      <c r="L16" s="27" t="str">
        <f aca="false">IF($A16="","",COUNTIFS(Overeenkomsten!$B$5:$B$504,$A16,Overeenkomsten!$E$5:$E$504,"Getekend"))</f>
        <v/>
      </c>
      <c r="M16" s="27" t="str">
        <f aca="false">IF($A16="","",COUNTIFS(Overeenkomsten!$B$5:$B$504,$A16)-$L16)</f>
        <v/>
      </c>
      <c r="N16" s="27" t="str">
        <f aca="false">IF($A16="","",COUNTIFS(Bronnen!$B$5:$B$504,$A16,Bronnen!$H$5:$H$504,"Ontvangen")+COUNTIFS(Bronnen!$B$5:$B$504,$A16,Bronnen!$H$5:$H$504,"In analyse")+COUNTIFS(Bronnen!$B$5:$B$504,$A16,Bronnen!$H$5:$H$504,"Verwerkt"))</f>
        <v/>
      </c>
      <c r="O16" s="27" t="str">
        <f aca="false">IF($A16="","",COUNTIFS(Bronnen!$B$5:$B$504,$A16,Bronnen!$H$5:$H$504,"Ontvangen")+COUNTIFS(Bronnen!$B$5:$B$504,$A16,Bronnen!$H$5:$H$504,"In analyse"))</f>
        <v/>
      </c>
      <c r="P16" s="30" t="str">
        <f aca="false">IF($A16="","",INDEX(Leads!$Q$5:$Q$504,12))</f>
        <v/>
      </c>
    </row>
    <row r="17" customFormat="false" ht="15" hidden="false" customHeight="false" outlineLevel="0" collapsed="false">
      <c r="A17" s="27" t="str">
        <f aca="false">IFERROR(IF(INDEX(Leads!$A$5:$A$504,13)="","",INDEX(Leads!$A$5:$A$504,13)),"")</f>
        <v/>
      </c>
      <c r="B17" s="27" t="str">
        <f aca="false">IF($A17="","",INDEX(Leads!$C$5:$C$504,13))</f>
        <v/>
      </c>
      <c r="C17" s="27" t="str">
        <f aca="false">IF($A17="","",INDEX(Leads!$B$5:$B$504,13))</f>
        <v/>
      </c>
      <c r="D17" s="27" t="str">
        <f aca="false">IF($A17="","",INDEX(Leads!$J$5:$J$504,13))</f>
        <v/>
      </c>
      <c r="E17" s="27" t="str">
        <f aca="false">IF($A17="","",INDEX(Leads!$L$5:$L$504,13))</f>
        <v/>
      </c>
      <c r="F17" s="27" t="str">
        <f aca="false">IF($A17="","",COUNTIFS(Voortgang!$B$5:$B$504,$A17))</f>
        <v/>
      </c>
      <c r="G17" s="27" t="str">
        <f aca="false">IF($A17="","",COUNTIFS(Voortgang!$B$5:$B$504,$A17,Voortgang!$G$5:$G$504,"Gereed"))</f>
        <v/>
      </c>
      <c r="H17" s="27" t="str">
        <f aca="false">IF($A17="","",COUNTIFS(Voortgang!$B$5:$B$504,$A17,Voortgang!$G$5:$G$504,"Loopt"))</f>
        <v/>
      </c>
      <c r="I17" s="28" t="str">
        <f aca="false">IF($A17="","",COUNTIFS(Voortgang!$B$5:$B$504,$A17,Voortgang!$G$5:$G$504,"Geblokkeerd"))</f>
        <v/>
      </c>
      <c r="J17" s="29" t="str">
        <f aca="false">IF($A17="","",IFERROR($G17/($F17-COUNTIFS(Voortgang!$B$5:$B$504,$A17,Voortgang!$G$5:$G$504,"Niet van toepassing")),""))</f>
        <v/>
      </c>
      <c r="K17" s="27" t="str">
        <f aca="false">IF($A17="","",IFERROR(IF(_xlfn.MINIFS(Voortgang!$L$5:$L$504,Voortgang!$B$5:$B$504,$A17)=9999,"Alle stappen afgerond",INDEX(Voortgang!$E$5:$E$504,MATCH($A17&amp;"|"&amp;TEXT(_xlfn.MINIFS(Voortgang!$L$5:$L$504,Voortgang!$B$5:$B$504,$A17),"00"),Voortgang!$M$5:$M$504,0))),""))</f>
        <v/>
      </c>
      <c r="L17" s="27" t="str">
        <f aca="false">IF($A17="","",COUNTIFS(Overeenkomsten!$B$5:$B$504,$A17,Overeenkomsten!$E$5:$E$504,"Getekend"))</f>
        <v/>
      </c>
      <c r="M17" s="27" t="str">
        <f aca="false">IF($A17="","",COUNTIFS(Overeenkomsten!$B$5:$B$504,$A17)-$L17)</f>
        <v/>
      </c>
      <c r="N17" s="27" t="str">
        <f aca="false">IF($A17="","",COUNTIFS(Bronnen!$B$5:$B$504,$A17,Bronnen!$H$5:$H$504,"Ontvangen")+COUNTIFS(Bronnen!$B$5:$B$504,$A17,Bronnen!$H$5:$H$504,"In analyse")+COUNTIFS(Bronnen!$B$5:$B$504,$A17,Bronnen!$H$5:$H$504,"Verwerkt"))</f>
        <v/>
      </c>
      <c r="O17" s="27" t="str">
        <f aca="false">IF($A17="","",COUNTIFS(Bronnen!$B$5:$B$504,$A17,Bronnen!$H$5:$H$504,"Ontvangen")+COUNTIFS(Bronnen!$B$5:$B$504,$A17,Bronnen!$H$5:$H$504,"In analyse"))</f>
        <v/>
      </c>
      <c r="P17" s="30" t="str">
        <f aca="false">IF($A17="","",INDEX(Leads!$Q$5:$Q$504,13))</f>
        <v/>
      </c>
    </row>
    <row r="18" customFormat="false" ht="15" hidden="false" customHeight="false" outlineLevel="0" collapsed="false">
      <c r="A18" s="27" t="str">
        <f aca="false">IFERROR(IF(INDEX(Leads!$A$5:$A$504,14)="","",INDEX(Leads!$A$5:$A$504,14)),"")</f>
        <v/>
      </c>
      <c r="B18" s="27" t="str">
        <f aca="false">IF($A18="","",INDEX(Leads!$C$5:$C$504,14))</f>
        <v/>
      </c>
      <c r="C18" s="27" t="str">
        <f aca="false">IF($A18="","",INDEX(Leads!$B$5:$B$504,14))</f>
        <v/>
      </c>
      <c r="D18" s="27" t="str">
        <f aca="false">IF($A18="","",INDEX(Leads!$J$5:$J$504,14))</f>
        <v/>
      </c>
      <c r="E18" s="27" t="str">
        <f aca="false">IF($A18="","",INDEX(Leads!$L$5:$L$504,14))</f>
        <v/>
      </c>
      <c r="F18" s="27" t="str">
        <f aca="false">IF($A18="","",COUNTIFS(Voortgang!$B$5:$B$504,$A18))</f>
        <v/>
      </c>
      <c r="G18" s="27" t="str">
        <f aca="false">IF($A18="","",COUNTIFS(Voortgang!$B$5:$B$504,$A18,Voortgang!$G$5:$G$504,"Gereed"))</f>
        <v/>
      </c>
      <c r="H18" s="27" t="str">
        <f aca="false">IF($A18="","",COUNTIFS(Voortgang!$B$5:$B$504,$A18,Voortgang!$G$5:$G$504,"Loopt"))</f>
        <v/>
      </c>
      <c r="I18" s="28" t="str">
        <f aca="false">IF($A18="","",COUNTIFS(Voortgang!$B$5:$B$504,$A18,Voortgang!$G$5:$G$504,"Geblokkeerd"))</f>
        <v/>
      </c>
      <c r="J18" s="29" t="str">
        <f aca="false">IF($A18="","",IFERROR($G18/($F18-COUNTIFS(Voortgang!$B$5:$B$504,$A18,Voortgang!$G$5:$G$504,"Niet van toepassing")),""))</f>
        <v/>
      </c>
      <c r="K18" s="27" t="str">
        <f aca="false">IF($A18="","",IFERROR(IF(_xlfn.MINIFS(Voortgang!$L$5:$L$504,Voortgang!$B$5:$B$504,$A18)=9999,"Alle stappen afgerond",INDEX(Voortgang!$E$5:$E$504,MATCH($A18&amp;"|"&amp;TEXT(_xlfn.MINIFS(Voortgang!$L$5:$L$504,Voortgang!$B$5:$B$504,$A18),"00"),Voortgang!$M$5:$M$504,0))),""))</f>
        <v/>
      </c>
      <c r="L18" s="27" t="str">
        <f aca="false">IF($A18="","",COUNTIFS(Overeenkomsten!$B$5:$B$504,$A18,Overeenkomsten!$E$5:$E$504,"Getekend"))</f>
        <v/>
      </c>
      <c r="M18" s="27" t="str">
        <f aca="false">IF($A18="","",COUNTIFS(Overeenkomsten!$B$5:$B$504,$A18)-$L18)</f>
        <v/>
      </c>
      <c r="N18" s="27" t="str">
        <f aca="false">IF($A18="","",COUNTIFS(Bronnen!$B$5:$B$504,$A18,Bronnen!$H$5:$H$504,"Ontvangen")+COUNTIFS(Bronnen!$B$5:$B$504,$A18,Bronnen!$H$5:$H$504,"In analyse")+COUNTIFS(Bronnen!$B$5:$B$504,$A18,Bronnen!$H$5:$H$504,"Verwerkt"))</f>
        <v/>
      </c>
      <c r="O18" s="27" t="str">
        <f aca="false">IF($A18="","",COUNTIFS(Bronnen!$B$5:$B$504,$A18,Bronnen!$H$5:$H$504,"Ontvangen")+COUNTIFS(Bronnen!$B$5:$B$504,$A18,Bronnen!$H$5:$H$504,"In analyse"))</f>
        <v/>
      </c>
      <c r="P18" s="30" t="str">
        <f aca="false">IF($A18="","",INDEX(Leads!$Q$5:$Q$504,14))</f>
        <v/>
      </c>
    </row>
    <row r="19" customFormat="false" ht="15" hidden="false" customHeight="false" outlineLevel="0" collapsed="false">
      <c r="A19" s="27" t="str">
        <f aca="false">IFERROR(IF(INDEX(Leads!$A$5:$A$504,15)="","",INDEX(Leads!$A$5:$A$504,15)),"")</f>
        <v/>
      </c>
      <c r="B19" s="27" t="str">
        <f aca="false">IF($A19="","",INDEX(Leads!$C$5:$C$504,15))</f>
        <v/>
      </c>
      <c r="C19" s="27" t="str">
        <f aca="false">IF($A19="","",INDEX(Leads!$B$5:$B$504,15))</f>
        <v/>
      </c>
      <c r="D19" s="27" t="str">
        <f aca="false">IF($A19="","",INDEX(Leads!$J$5:$J$504,15))</f>
        <v/>
      </c>
      <c r="E19" s="27" t="str">
        <f aca="false">IF($A19="","",INDEX(Leads!$L$5:$L$504,15))</f>
        <v/>
      </c>
      <c r="F19" s="27" t="str">
        <f aca="false">IF($A19="","",COUNTIFS(Voortgang!$B$5:$B$504,$A19))</f>
        <v/>
      </c>
      <c r="G19" s="27" t="str">
        <f aca="false">IF($A19="","",COUNTIFS(Voortgang!$B$5:$B$504,$A19,Voortgang!$G$5:$G$504,"Gereed"))</f>
        <v/>
      </c>
      <c r="H19" s="27" t="str">
        <f aca="false">IF($A19="","",COUNTIFS(Voortgang!$B$5:$B$504,$A19,Voortgang!$G$5:$G$504,"Loopt"))</f>
        <v/>
      </c>
      <c r="I19" s="28" t="str">
        <f aca="false">IF($A19="","",COUNTIFS(Voortgang!$B$5:$B$504,$A19,Voortgang!$G$5:$G$504,"Geblokkeerd"))</f>
        <v/>
      </c>
      <c r="J19" s="29" t="str">
        <f aca="false">IF($A19="","",IFERROR($G19/($F19-COUNTIFS(Voortgang!$B$5:$B$504,$A19,Voortgang!$G$5:$G$504,"Niet van toepassing")),""))</f>
        <v/>
      </c>
      <c r="K19" s="27" t="str">
        <f aca="false">IF($A19="","",IFERROR(IF(_xlfn.MINIFS(Voortgang!$L$5:$L$504,Voortgang!$B$5:$B$504,$A19)=9999,"Alle stappen afgerond",INDEX(Voortgang!$E$5:$E$504,MATCH($A19&amp;"|"&amp;TEXT(_xlfn.MINIFS(Voortgang!$L$5:$L$504,Voortgang!$B$5:$B$504,$A19),"00"),Voortgang!$M$5:$M$504,0))),""))</f>
        <v/>
      </c>
      <c r="L19" s="27" t="str">
        <f aca="false">IF($A19="","",COUNTIFS(Overeenkomsten!$B$5:$B$504,$A19,Overeenkomsten!$E$5:$E$504,"Getekend"))</f>
        <v/>
      </c>
      <c r="M19" s="27" t="str">
        <f aca="false">IF($A19="","",COUNTIFS(Overeenkomsten!$B$5:$B$504,$A19)-$L19)</f>
        <v/>
      </c>
      <c r="N19" s="27" t="str">
        <f aca="false">IF($A19="","",COUNTIFS(Bronnen!$B$5:$B$504,$A19,Bronnen!$H$5:$H$504,"Ontvangen")+COUNTIFS(Bronnen!$B$5:$B$504,$A19,Bronnen!$H$5:$H$504,"In analyse")+COUNTIFS(Bronnen!$B$5:$B$504,$A19,Bronnen!$H$5:$H$504,"Verwerkt"))</f>
        <v/>
      </c>
      <c r="O19" s="27" t="str">
        <f aca="false">IF($A19="","",COUNTIFS(Bronnen!$B$5:$B$504,$A19,Bronnen!$H$5:$H$504,"Ontvangen")+COUNTIFS(Bronnen!$B$5:$B$504,$A19,Bronnen!$H$5:$H$504,"In analyse"))</f>
        <v/>
      </c>
      <c r="P19" s="30" t="str">
        <f aca="false">IF($A19="","",INDEX(Leads!$Q$5:$Q$504,15))</f>
        <v/>
      </c>
    </row>
    <row r="20" customFormat="false" ht="15" hidden="false" customHeight="false" outlineLevel="0" collapsed="false">
      <c r="A20" s="27" t="str">
        <f aca="false">IFERROR(IF(INDEX(Leads!$A$5:$A$504,16)="","",INDEX(Leads!$A$5:$A$504,16)),"")</f>
        <v/>
      </c>
      <c r="B20" s="27" t="str">
        <f aca="false">IF($A20="","",INDEX(Leads!$C$5:$C$504,16))</f>
        <v/>
      </c>
      <c r="C20" s="27" t="str">
        <f aca="false">IF($A20="","",INDEX(Leads!$B$5:$B$504,16))</f>
        <v/>
      </c>
      <c r="D20" s="27" t="str">
        <f aca="false">IF($A20="","",INDEX(Leads!$J$5:$J$504,16))</f>
        <v/>
      </c>
      <c r="E20" s="27" t="str">
        <f aca="false">IF($A20="","",INDEX(Leads!$L$5:$L$504,16))</f>
        <v/>
      </c>
      <c r="F20" s="27" t="str">
        <f aca="false">IF($A20="","",COUNTIFS(Voortgang!$B$5:$B$504,$A20))</f>
        <v/>
      </c>
      <c r="G20" s="27" t="str">
        <f aca="false">IF($A20="","",COUNTIFS(Voortgang!$B$5:$B$504,$A20,Voortgang!$G$5:$G$504,"Gereed"))</f>
        <v/>
      </c>
      <c r="H20" s="27" t="str">
        <f aca="false">IF($A20="","",COUNTIFS(Voortgang!$B$5:$B$504,$A20,Voortgang!$G$5:$G$504,"Loopt"))</f>
        <v/>
      </c>
      <c r="I20" s="28" t="str">
        <f aca="false">IF($A20="","",COUNTIFS(Voortgang!$B$5:$B$504,$A20,Voortgang!$G$5:$G$504,"Geblokkeerd"))</f>
        <v/>
      </c>
      <c r="J20" s="29" t="str">
        <f aca="false">IF($A20="","",IFERROR($G20/($F20-COUNTIFS(Voortgang!$B$5:$B$504,$A20,Voortgang!$G$5:$G$504,"Niet van toepassing")),""))</f>
        <v/>
      </c>
      <c r="K20" s="27" t="str">
        <f aca="false">IF($A20="","",IFERROR(IF(_xlfn.MINIFS(Voortgang!$L$5:$L$504,Voortgang!$B$5:$B$504,$A20)=9999,"Alle stappen afgerond",INDEX(Voortgang!$E$5:$E$504,MATCH($A20&amp;"|"&amp;TEXT(_xlfn.MINIFS(Voortgang!$L$5:$L$504,Voortgang!$B$5:$B$504,$A20),"00"),Voortgang!$M$5:$M$504,0))),""))</f>
        <v/>
      </c>
      <c r="L20" s="27" t="str">
        <f aca="false">IF($A20="","",COUNTIFS(Overeenkomsten!$B$5:$B$504,$A20,Overeenkomsten!$E$5:$E$504,"Getekend"))</f>
        <v/>
      </c>
      <c r="M20" s="27" t="str">
        <f aca="false">IF($A20="","",COUNTIFS(Overeenkomsten!$B$5:$B$504,$A20)-$L20)</f>
        <v/>
      </c>
      <c r="N20" s="27" t="str">
        <f aca="false">IF($A20="","",COUNTIFS(Bronnen!$B$5:$B$504,$A20,Bronnen!$H$5:$H$504,"Ontvangen")+COUNTIFS(Bronnen!$B$5:$B$504,$A20,Bronnen!$H$5:$H$504,"In analyse")+COUNTIFS(Bronnen!$B$5:$B$504,$A20,Bronnen!$H$5:$H$504,"Verwerkt"))</f>
        <v/>
      </c>
      <c r="O20" s="27" t="str">
        <f aca="false">IF($A20="","",COUNTIFS(Bronnen!$B$5:$B$504,$A20,Bronnen!$H$5:$H$504,"Ontvangen")+COUNTIFS(Bronnen!$B$5:$B$504,$A20,Bronnen!$H$5:$H$504,"In analyse"))</f>
        <v/>
      </c>
      <c r="P20" s="30" t="str">
        <f aca="false">IF($A20="","",INDEX(Leads!$Q$5:$Q$504,16))</f>
        <v/>
      </c>
    </row>
    <row r="21" customFormat="false" ht="15" hidden="false" customHeight="false" outlineLevel="0" collapsed="false">
      <c r="A21" s="27" t="str">
        <f aca="false">IFERROR(IF(INDEX(Leads!$A$5:$A$504,17)="","",INDEX(Leads!$A$5:$A$504,17)),"")</f>
        <v/>
      </c>
      <c r="B21" s="27" t="str">
        <f aca="false">IF($A21="","",INDEX(Leads!$C$5:$C$504,17))</f>
        <v/>
      </c>
      <c r="C21" s="27" t="str">
        <f aca="false">IF($A21="","",INDEX(Leads!$B$5:$B$504,17))</f>
        <v/>
      </c>
      <c r="D21" s="27" t="str">
        <f aca="false">IF($A21="","",INDEX(Leads!$J$5:$J$504,17))</f>
        <v/>
      </c>
      <c r="E21" s="27" t="str">
        <f aca="false">IF($A21="","",INDEX(Leads!$L$5:$L$504,17))</f>
        <v/>
      </c>
      <c r="F21" s="27" t="str">
        <f aca="false">IF($A21="","",COUNTIFS(Voortgang!$B$5:$B$504,$A21))</f>
        <v/>
      </c>
      <c r="G21" s="27" t="str">
        <f aca="false">IF($A21="","",COUNTIFS(Voortgang!$B$5:$B$504,$A21,Voortgang!$G$5:$G$504,"Gereed"))</f>
        <v/>
      </c>
      <c r="H21" s="27" t="str">
        <f aca="false">IF($A21="","",COUNTIFS(Voortgang!$B$5:$B$504,$A21,Voortgang!$G$5:$G$504,"Loopt"))</f>
        <v/>
      </c>
      <c r="I21" s="28" t="str">
        <f aca="false">IF($A21="","",COUNTIFS(Voortgang!$B$5:$B$504,$A21,Voortgang!$G$5:$G$504,"Geblokkeerd"))</f>
        <v/>
      </c>
      <c r="J21" s="29" t="str">
        <f aca="false">IF($A21="","",IFERROR($G21/($F21-COUNTIFS(Voortgang!$B$5:$B$504,$A21,Voortgang!$G$5:$G$504,"Niet van toepassing")),""))</f>
        <v/>
      </c>
      <c r="K21" s="27" t="str">
        <f aca="false">IF($A21="","",IFERROR(IF(_xlfn.MINIFS(Voortgang!$L$5:$L$504,Voortgang!$B$5:$B$504,$A21)=9999,"Alle stappen afgerond",INDEX(Voortgang!$E$5:$E$504,MATCH($A21&amp;"|"&amp;TEXT(_xlfn.MINIFS(Voortgang!$L$5:$L$504,Voortgang!$B$5:$B$504,$A21),"00"),Voortgang!$M$5:$M$504,0))),""))</f>
        <v/>
      </c>
      <c r="L21" s="27" t="str">
        <f aca="false">IF($A21="","",COUNTIFS(Overeenkomsten!$B$5:$B$504,$A21,Overeenkomsten!$E$5:$E$504,"Getekend"))</f>
        <v/>
      </c>
      <c r="M21" s="27" t="str">
        <f aca="false">IF($A21="","",COUNTIFS(Overeenkomsten!$B$5:$B$504,$A21)-$L21)</f>
        <v/>
      </c>
      <c r="N21" s="27" t="str">
        <f aca="false">IF($A21="","",COUNTIFS(Bronnen!$B$5:$B$504,$A21,Bronnen!$H$5:$H$504,"Ontvangen")+COUNTIFS(Bronnen!$B$5:$B$504,$A21,Bronnen!$H$5:$H$504,"In analyse")+COUNTIFS(Bronnen!$B$5:$B$504,$A21,Bronnen!$H$5:$H$504,"Verwerkt"))</f>
        <v/>
      </c>
      <c r="O21" s="27" t="str">
        <f aca="false">IF($A21="","",COUNTIFS(Bronnen!$B$5:$B$504,$A21,Bronnen!$H$5:$H$504,"Ontvangen")+COUNTIFS(Bronnen!$B$5:$B$504,$A21,Bronnen!$H$5:$H$504,"In analyse"))</f>
        <v/>
      </c>
      <c r="P21" s="30" t="str">
        <f aca="false">IF($A21="","",INDEX(Leads!$Q$5:$Q$504,17))</f>
        <v/>
      </c>
    </row>
    <row r="22" customFormat="false" ht="15" hidden="false" customHeight="false" outlineLevel="0" collapsed="false">
      <c r="A22" s="27" t="str">
        <f aca="false">IFERROR(IF(INDEX(Leads!$A$5:$A$504,18)="","",INDEX(Leads!$A$5:$A$504,18)),"")</f>
        <v/>
      </c>
      <c r="B22" s="27" t="str">
        <f aca="false">IF($A22="","",INDEX(Leads!$C$5:$C$504,18))</f>
        <v/>
      </c>
      <c r="C22" s="27" t="str">
        <f aca="false">IF($A22="","",INDEX(Leads!$B$5:$B$504,18))</f>
        <v/>
      </c>
      <c r="D22" s="27" t="str">
        <f aca="false">IF($A22="","",INDEX(Leads!$J$5:$J$504,18))</f>
        <v/>
      </c>
      <c r="E22" s="27" t="str">
        <f aca="false">IF($A22="","",INDEX(Leads!$L$5:$L$504,18))</f>
        <v/>
      </c>
      <c r="F22" s="27" t="str">
        <f aca="false">IF($A22="","",COUNTIFS(Voortgang!$B$5:$B$504,$A22))</f>
        <v/>
      </c>
      <c r="G22" s="27" t="str">
        <f aca="false">IF($A22="","",COUNTIFS(Voortgang!$B$5:$B$504,$A22,Voortgang!$G$5:$G$504,"Gereed"))</f>
        <v/>
      </c>
      <c r="H22" s="27" t="str">
        <f aca="false">IF($A22="","",COUNTIFS(Voortgang!$B$5:$B$504,$A22,Voortgang!$G$5:$G$504,"Loopt"))</f>
        <v/>
      </c>
      <c r="I22" s="28" t="str">
        <f aca="false">IF($A22="","",COUNTIFS(Voortgang!$B$5:$B$504,$A22,Voortgang!$G$5:$G$504,"Geblokkeerd"))</f>
        <v/>
      </c>
      <c r="J22" s="29" t="str">
        <f aca="false">IF($A22="","",IFERROR($G22/($F22-COUNTIFS(Voortgang!$B$5:$B$504,$A22,Voortgang!$G$5:$G$504,"Niet van toepassing")),""))</f>
        <v/>
      </c>
      <c r="K22" s="27" t="str">
        <f aca="false">IF($A22="","",IFERROR(IF(_xlfn.MINIFS(Voortgang!$L$5:$L$504,Voortgang!$B$5:$B$504,$A22)=9999,"Alle stappen afgerond",INDEX(Voortgang!$E$5:$E$504,MATCH($A22&amp;"|"&amp;TEXT(_xlfn.MINIFS(Voortgang!$L$5:$L$504,Voortgang!$B$5:$B$504,$A22),"00"),Voortgang!$M$5:$M$504,0))),""))</f>
        <v/>
      </c>
      <c r="L22" s="27" t="str">
        <f aca="false">IF($A22="","",COUNTIFS(Overeenkomsten!$B$5:$B$504,$A22,Overeenkomsten!$E$5:$E$504,"Getekend"))</f>
        <v/>
      </c>
      <c r="M22" s="27" t="str">
        <f aca="false">IF($A22="","",COUNTIFS(Overeenkomsten!$B$5:$B$504,$A22)-$L22)</f>
        <v/>
      </c>
      <c r="N22" s="27" t="str">
        <f aca="false">IF($A22="","",COUNTIFS(Bronnen!$B$5:$B$504,$A22,Bronnen!$H$5:$H$504,"Ontvangen")+COUNTIFS(Bronnen!$B$5:$B$504,$A22,Bronnen!$H$5:$H$504,"In analyse")+COUNTIFS(Bronnen!$B$5:$B$504,$A22,Bronnen!$H$5:$H$504,"Verwerkt"))</f>
        <v/>
      </c>
      <c r="O22" s="27" t="str">
        <f aca="false">IF($A22="","",COUNTIFS(Bronnen!$B$5:$B$504,$A22,Bronnen!$H$5:$H$504,"Ontvangen")+COUNTIFS(Bronnen!$B$5:$B$504,$A22,Bronnen!$H$5:$H$504,"In analyse"))</f>
        <v/>
      </c>
      <c r="P22" s="30" t="str">
        <f aca="false">IF($A22="","",INDEX(Leads!$Q$5:$Q$504,18))</f>
        <v/>
      </c>
    </row>
    <row r="23" customFormat="false" ht="15" hidden="false" customHeight="false" outlineLevel="0" collapsed="false">
      <c r="A23" s="27" t="str">
        <f aca="false">IFERROR(IF(INDEX(Leads!$A$5:$A$504,19)="","",INDEX(Leads!$A$5:$A$504,19)),"")</f>
        <v/>
      </c>
      <c r="B23" s="27" t="str">
        <f aca="false">IF($A23="","",INDEX(Leads!$C$5:$C$504,19))</f>
        <v/>
      </c>
      <c r="C23" s="27" t="str">
        <f aca="false">IF($A23="","",INDEX(Leads!$B$5:$B$504,19))</f>
        <v/>
      </c>
      <c r="D23" s="27" t="str">
        <f aca="false">IF($A23="","",INDEX(Leads!$J$5:$J$504,19))</f>
        <v/>
      </c>
      <c r="E23" s="27" t="str">
        <f aca="false">IF($A23="","",INDEX(Leads!$L$5:$L$504,19))</f>
        <v/>
      </c>
      <c r="F23" s="27" t="str">
        <f aca="false">IF($A23="","",COUNTIFS(Voortgang!$B$5:$B$504,$A23))</f>
        <v/>
      </c>
      <c r="G23" s="27" t="str">
        <f aca="false">IF($A23="","",COUNTIFS(Voortgang!$B$5:$B$504,$A23,Voortgang!$G$5:$G$504,"Gereed"))</f>
        <v/>
      </c>
      <c r="H23" s="27" t="str">
        <f aca="false">IF($A23="","",COUNTIFS(Voortgang!$B$5:$B$504,$A23,Voortgang!$G$5:$G$504,"Loopt"))</f>
        <v/>
      </c>
      <c r="I23" s="28" t="str">
        <f aca="false">IF($A23="","",COUNTIFS(Voortgang!$B$5:$B$504,$A23,Voortgang!$G$5:$G$504,"Geblokkeerd"))</f>
        <v/>
      </c>
      <c r="J23" s="29" t="str">
        <f aca="false">IF($A23="","",IFERROR($G23/($F23-COUNTIFS(Voortgang!$B$5:$B$504,$A23,Voortgang!$G$5:$G$504,"Niet van toepassing")),""))</f>
        <v/>
      </c>
      <c r="K23" s="27" t="str">
        <f aca="false">IF($A23="","",IFERROR(IF(_xlfn.MINIFS(Voortgang!$L$5:$L$504,Voortgang!$B$5:$B$504,$A23)=9999,"Alle stappen afgerond",INDEX(Voortgang!$E$5:$E$504,MATCH($A23&amp;"|"&amp;TEXT(_xlfn.MINIFS(Voortgang!$L$5:$L$504,Voortgang!$B$5:$B$504,$A23),"00"),Voortgang!$M$5:$M$504,0))),""))</f>
        <v/>
      </c>
      <c r="L23" s="27" t="str">
        <f aca="false">IF($A23="","",COUNTIFS(Overeenkomsten!$B$5:$B$504,$A23,Overeenkomsten!$E$5:$E$504,"Getekend"))</f>
        <v/>
      </c>
      <c r="M23" s="27" t="str">
        <f aca="false">IF($A23="","",COUNTIFS(Overeenkomsten!$B$5:$B$504,$A23)-$L23)</f>
        <v/>
      </c>
      <c r="N23" s="27" t="str">
        <f aca="false">IF($A23="","",COUNTIFS(Bronnen!$B$5:$B$504,$A23,Bronnen!$H$5:$H$504,"Ontvangen")+COUNTIFS(Bronnen!$B$5:$B$504,$A23,Bronnen!$H$5:$H$504,"In analyse")+COUNTIFS(Bronnen!$B$5:$B$504,$A23,Bronnen!$H$5:$H$504,"Verwerkt"))</f>
        <v/>
      </c>
      <c r="O23" s="27" t="str">
        <f aca="false">IF($A23="","",COUNTIFS(Bronnen!$B$5:$B$504,$A23,Bronnen!$H$5:$H$504,"Ontvangen")+COUNTIFS(Bronnen!$B$5:$B$504,$A23,Bronnen!$H$5:$H$504,"In analyse"))</f>
        <v/>
      </c>
      <c r="P23" s="30" t="str">
        <f aca="false">IF($A23="","",INDEX(Leads!$Q$5:$Q$504,19))</f>
        <v/>
      </c>
    </row>
    <row r="24" customFormat="false" ht="15" hidden="false" customHeight="false" outlineLevel="0" collapsed="false">
      <c r="A24" s="27" t="str">
        <f aca="false">IFERROR(IF(INDEX(Leads!$A$5:$A$504,20)="","",INDEX(Leads!$A$5:$A$504,20)),"")</f>
        <v/>
      </c>
      <c r="B24" s="27" t="str">
        <f aca="false">IF($A24="","",INDEX(Leads!$C$5:$C$504,20))</f>
        <v/>
      </c>
      <c r="C24" s="27" t="str">
        <f aca="false">IF($A24="","",INDEX(Leads!$B$5:$B$504,20))</f>
        <v/>
      </c>
      <c r="D24" s="27" t="str">
        <f aca="false">IF($A24="","",INDEX(Leads!$J$5:$J$504,20))</f>
        <v/>
      </c>
      <c r="E24" s="27" t="str">
        <f aca="false">IF($A24="","",INDEX(Leads!$L$5:$L$504,20))</f>
        <v/>
      </c>
      <c r="F24" s="27" t="str">
        <f aca="false">IF($A24="","",COUNTIFS(Voortgang!$B$5:$B$504,$A24))</f>
        <v/>
      </c>
      <c r="G24" s="27" t="str">
        <f aca="false">IF($A24="","",COUNTIFS(Voortgang!$B$5:$B$504,$A24,Voortgang!$G$5:$G$504,"Gereed"))</f>
        <v/>
      </c>
      <c r="H24" s="27" t="str">
        <f aca="false">IF($A24="","",COUNTIFS(Voortgang!$B$5:$B$504,$A24,Voortgang!$G$5:$G$504,"Loopt"))</f>
        <v/>
      </c>
      <c r="I24" s="28" t="str">
        <f aca="false">IF($A24="","",COUNTIFS(Voortgang!$B$5:$B$504,$A24,Voortgang!$G$5:$G$504,"Geblokkeerd"))</f>
        <v/>
      </c>
      <c r="J24" s="29" t="str">
        <f aca="false">IF($A24="","",IFERROR($G24/($F24-COUNTIFS(Voortgang!$B$5:$B$504,$A24,Voortgang!$G$5:$G$504,"Niet van toepassing")),""))</f>
        <v/>
      </c>
      <c r="K24" s="27" t="str">
        <f aca="false">IF($A24="","",IFERROR(IF(_xlfn.MINIFS(Voortgang!$L$5:$L$504,Voortgang!$B$5:$B$504,$A24)=9999,"Alle stappen afgerond",INDEX(Voortgang!$E$5:$E$504,MATCH($A24&amp;"|"&amp;TEXT(_xlfn.MINIFS(Voortgang!$L$5:$L$504,Voortgang!$B$5:$B$504,$A24),"00"),Voortgang!$M$5:$M$504,0))),""))</f>
        <v/>
      </c>
      <c r="L24" s="27" t="str">
        <f aca="false">IF($A24="","",COUNTIFS(Overeenkomsten!$B$5:$B$504,$A24,Overeenkomsten!$E$5:$E$504,"Getekend"))</f>
        <v/>
      </c>
      <c r="M24" s="27" t="str">
        <f aca="false">IF($A24="","",COUNTIFS(Overeenkomsten!$B$5:$B$504,$A24)-$L24)</f>
        <v/>
      </c>
      <c r="N24" s="27" t="str">
        <f aca="false">IF($A24="","",COUNTIFS(Bronnen!$B$5:$B$504,$A24,Bronnen!$H$5:$H$504,"Ontvangen")+COUNTIFS(Bronnen!$B$5:$B$504,$A24,Bronnen!$H$5:$H$504,"In analyse")+COUNTIFS(Bronnen!$B$5:$B$504,$A24,Bronnen!$H$5:$H$504,"Verwerkt"))</f>
        <v/>
      </c>
      <c r="O24" s="27" t="str">
        <f aca="false">IF($A24="","",COUNTIFS(Bronnen!$B$5:$B$504,$A24,Bronnen!$H$5:$H$504,"Ontvangen")+COUNTIFS(Bronnen!$B$5:$B$504,$A24,Bronnen!$H$5:$H$504,"In analyse"))</f>
        <v/>
      </c>
      <c r="P24" s="30" t="str">
        <f aca="false">IF($A24="","",INDEX(Leads!$Q$5:$Q$504,20))</f>
        <v/>
      </c>
    </row>
    <row r="25" customFormat="false" ht="15" hidden="false" customHeight="false" outlineLevel="0" collapsed="false">
      <c r="A25" s="27" t="str">
        <f aca="false">IFERROR(IF(INDEX(Leads!$A$5:$A$504,21)="","",INDEX(Leads!$A$5:$A$504,21)),"")</f>
        <v/>
      </c>
      <c r="B25" s="27" t="str">
        <f aca="false">IF($A25="","",INDEX(Leads!$C$5:$C$504,21))</f>
        <v/>
      </c>
      <c r="C25" s="27" t="str">
        <f aca="false">IF($A25="","",INDEX(Leads!$B$5:$B$504,21))</f>
        <v/>
      </c>
      <c r="D25" s="27" t="str">
        <f aca="false">IF($A25="","",INDEX(Leads!$J$5:$J$504,21))</f>
        <v/>
      </c>
      <c r="E25" s="27" t="str">
        <f aca="false">IF($A25="","",INDEX(Leads!$L$5:$L$504,21))</f>
        <v/>
      </c>
      <c r="F25" s="27" t="str">
        <f aca="false">IF($A25="","",COUNTIFS(Voortgang!$B$5:$B$504,$A25))</f>
        <v/>
      </c>
      <c r="G25" s="27" t="str">
        <f aca="false">IF($A25="","",COUNTIFS(Voortgang!$B$5:$B$504,$A25,Voortgang!$G$5:$G$504,"Gereed"))</f>
        <v/>
      </c>
      <c r="H25" s="27" t="str">
        <f aca="false">IF($A25="","",COUNTIFS(Voortgang!$B$5:$B$504,$A25,Voortgang!$G$5:$G$504,"Loopt"))</f>
        <v/>
      </c>
      <c r="I25" s="28" t="str">
        <f aca="false">IF($A25="","",COUNTIFS(Voortgang!$B$5:$B$504,$A25,Voortgang!$G$5:$G$504,"Geblokkeerd"))</f>
        <v/>
      </c>
      <c r="J25" s="29" t="str">
        <f aca="false">IF($A25="","",IFERROR($G25/($F25-COUNTIFS(Voortgang!$B$5:$B$504,$A25,Voortgang!$G$5:$G$504,"Niet van toepassing")),""))</f>
        <v/>
      </c>
      <c r="K25" s="27" t="str">
        <f aca="false">IF($A25="","",IFERROR(IF(_xlfn.MINIFS(Voortgang!$L$5:$L$504,Voortgang!$B$5:$B$504,$A25)=9999,"Alle stappen afgerond",INDEX(Voortgang!$E$5:$E$504,MATCH($A25&amp;"|"&amp;TEXT(_xlfn.MINIFS(Voortgang!$L$5:$L$504,Voortgang!$B$5:$B$504,$A25),"00"),Voortgang!$M$5:$M$504,0))),""))</f>
        <v/>
      </c>
      <c r="L25" s="27" t="str">
        <f aca="false">IF($A25="","",COUNTIFS(Overeenkomsten!$B$5:$B$504,$A25,Overeenkomsten!$E$5:$E$504,"Getekend"))</f>
        <v/>
      </c>
      <c r="M25" s="27" t="str">
        <f aca="false">IF($A25="","",COUNTIFS(Overeenkomsten!$B$5:$B$504,$A25)-$L25)</f>
        <v/>
      </c>
      <c r="N25" s="27" t="str">
        <f aca="false">IF($A25="","",COUNTIFS(Bronnen!$B$5:$B$504,$A25,Bronnen!$H$5:$H$504,"Ontvangen")+COUNTIFS(Bronnen!$B$5:$B$504,$A25,Bronnen!$H$5:$H$504,"In analyse")+COUNTIFS(Bronnen!$B$5:$B$504,$A25,Bronnen!$H$5:$H$504,"Verwerkt"))</f>
        <v/>
      </c>
      <c r="O25" s="27" t="str">
        <f aca="false">IF($A25="","",COUNTIFS(Bronnen!$B$5:$B$504,$A25,Bronnen!$H$5:$H$504,"Ontvangen")+COUNTIFS(Bronnen!$B$5:$B$504,$A25,Bronnen!$H$5:$H$504,"In analyse"))</f>
        <v/>
      </c>
      <c r="P25" s="30" t="str">
        <f aca="false">IF($A25="","",INDEX(Leads!$Q$5:$Q$504,21))</f>
        <v/>
      </c>
    </row>
    <row r="26" customFormat="false" ht="15" hidden="false" customHeight="false" outlineLevel="0" collapsed="false">
      <c r="A26" s="27" t="str">
        <f aca="false">IFERROR(IF(INDEX(Leads!$A$5:$A$504,22)="","",INDEX(Leads!$A$5:$A$504,22)),"")</f>
        <v/>
      </c>
      <c r="B26" s="27" t="str">
        <f aca="false">IF($A26="","",INDEX(Leads!$C$5:$C$504,22))</f>
        <v/>
      </c>
      <c r="C26" s="27" t="str">
        <f aca="false">IF($A26="","",INDEX(Leads!$B$5:$B$504,22))</f>
        <v/>
      </c>
      <c r="D26" s="27" t="str">
        <f aca="false">IF($A26="","",INDEX(Leads!$J$5:$J$504,22))</f>
        <v/>
      </c>
      <c r="E26" s="27" t="str">
        <f aca="false">IF($A26="","",INDEX(Leads!$L$5:$L$504,22))</f>
        <v/>
      </c>
      <c r="F26" s="27" t="str">
        <f aca="false">IF($A26="","",COUNTIFS(Voortgang!$B$5:$B$504,$A26))</f>
        <v/>
      </c>
      <c r="G26" s="27" t="str">
        <f aca="false">IF($A26="","",COUNTIFS(Voortgang!$B$5:$B$504,$A26,Voortgang!$G$5:$G$504,"Gereed"))</f>
        <v/>
      </c>
      <c r="H26" s="27" t="str">
        <f aca="false">IF($A26="","",COUNTIFS(Voortgang!$B$5:$B$504,$A26,Voortgang!$G$5:$G$504,"Loopt"))</f>
        <v/>
      </c>
      <c r="I26" s="28" t="str">
        <f aca="false">IF($A26="","",COUNTIFS(Voortgang!$B$5:$B$504,$A26,Voortgang!$G$5:$G$504,"Geblokkeerd"))</f>
        <v/>
      </c>
      <c r="J26" s="29" t="str">
        <f aca="false">IF($A26="","",IFERROR($G26/($F26-COUNTIFS(Voortgang!$B$5:$B$504,$A26,Voortgang!$G$5:$G$504,"Niet van toepassing")),""))</f>
        <v/>
      </c>
      <c r="K26" s="27" t="str">
        <f aca="false">IF($A26="","",IFERROR(IF(_xlfn.MINIFS(Voortgang!$L$5:$L$504,Voortgang!$B$5:$B$504,$A26)=9999,"Alle stappen afgerond",INDEX(Voortgang!$E$5:$E$504,MATCH($A26&amp;"|"&amp;TEXT(_xlfn.MINIFS(Voortgang!$L$5:$L$504,Voortgang!$B$5:$B$504,$A26),"00"),Voortgang!$M$5:$M$504,0))),""))</f>
        <v/>
      </c>
      <c r="L26" s="27" t="str">
        <f aca="false">IF($A26="","",COUNTIFS(Overeenkomsten!$B$5:$B$504,$A26,Overeenkomsten!$E$5:$E$504,"Getekend"))</f>
        <v/>
      </c>
      <c r="M26" s="27" t="str">
        <f aca="false">IF($A26="","",COUNTIFS(Overeenkomsten!$B$5:$B$504,$A26)-$L26)</f>
        <v/>
      </c>
      <c r="N26" s="27" t="str">
        <f aca="false">IF($A26="","",COUNTIFS(Bronnen!$B$5:$B$504,$A26,Bronnen!$H$5:$H$504,"Ontvangen")+COUNTIFS(Bronnen!$B$5:$B$504,$A26,Bronnen!$H$5:$H$504,"In analyse")+COUNTIFS(Bronnen!$B$5:$B$504,$A26,Bronnen!$H$5:$H$504,"Verwerkt"))</f>
        <v/>
      </c>
      <c r="O26" s="27" t="str">
        <f aca="false">IF($A26="","",COUNTIFS(Bronnen!$B$5:$B$504,$A26,Bronnen!$H$5:$H$504,"Ontvangen")+COUNTIFS(Bronnen!$B$5:$B$504,$A26,Bronnen!$H$5:$H$504,"In analyse"))</f>
        <v/>
      </c>
      <c r="P26" s="30" t="str">
        <f aca="false">IF($A26="","",INDEX(Leads!$Q$5:$Q$504,22))</f>
        <v/>
      </c>
    </row>
    <row r="27" customFormat="false" ht="15" hidden="false" customHeight="false" outlineLevel="0" collapsed="false">
      <c r="A27" s="27" t="str">
        <f aca="false">IFERROR(IF(INDEX(Leads!$A$5:$A$504,23)="","",INDEX(Leads!$A$5:$A$504,23)),"")</f>
        <v/>
      </c>
      <c r="B27" s="27" t="str">
        <f aca="false">IF($A27="","",INDEX(Leads!$C$5:$C$504,23))</f>
        <v/>
      </c>
      <c r="C27" s="27" t="str">
        <f aca="false">IF($A27="","",INDEX(Leads!$B$5:$B$504,23))</f>
        <v/>
      </c>
      <c r="D27" s="27" t="str">
        <f aca="false">IF($A27="","",INDEX(Leads!$J$5:$J$504,23))</f>
        <v/>
      </c>
      <c r="E27" s="27" t="str">
        <f aca="false">IF($A27="","",INDEX(Leads!$L$5:$L$504,23))</f>
        <v/>
      </c>
      <c r="F27" s="27" t="str">
        <f aca="false">IF($A27="","",COUNTIFS(Voortgang!$B$5:$B$504,$A27))</f>
        <v/>
      </c>
      <c r="G27" s="27" t="str">
        <f aca="false">IF($A27="","",COUNTIFS(Voortgang!$B$5:$B$504,$A27,Voortgang!$G$5:$G$504,"Gereed"))</f>
        <v/>
      </c>
      <c r="H27" s="27" t="str">
        <f aca="false">IF($A27="","",COUNTIFS(Voortgang!$B$5:$B$504,$A27,Voortgang!$G$5:$G$504,"Loopt"))</f>
        <v/>
      </c>
      <c r="I27" s="28" t="str">
        <f aca="false">IF($A27="","",COUNTIFS(Voortgang!$B$5:$B$504,$A27,Voortgang!$G$5:$G$504,"Geblokkeerd"))</f>
        <v/>
      </c>
      <c r="J27" s="29" t="str">
        <f aca="false">IF($A27="","",IFERROR($G27/($F27-COUNTIFS(Voortgang!$B$5:$B$504,$A27,Voortgang!$G$5:$G$504,"Niet van toepassing")),""))</f>
        <v/>
      </c>
      <c r="K27" s="27" t="str">
        <f aca="false">IF($A27="","",IFERROR(IF(_xlfn.MINIFS(Voortgang!$L$5:$L$504,Voortgang!$B$5:$B$504,$A27)=9999,"Alle stappen afgerond",INDEX(Voortgang!$E$5:$E$504,MATCH($A27&amp;"|"&amp;TEXT(_xlfn.MINIFS(Voortgang!$L$5:$L$504,Voortgang!$B$5:$B$504,$A27),"00"),Voortgang!$M$5:$M$504,0))),""))</f>
        <v/>
      </c>
      <c r="L27" s="27" t="str">
        <f aca="false">IF($A27="","",COUNTIFS(Overeenkomsten!$B$5:$B$504,$A27,Overeenkomsten!$E$5:$E$504,"Getekend"))</f>
        <v/>
      </c>
      <c r="M27" s="27" t="str">
        <f aca="false">IF($A27="","",COUNTIFS(Overeenkomsten!$B$5:$B$504,$A27)-$L27)</f>
        <v/>
      </c>
      <c r="N27" s="27" t="str">
        <f aca="false">IF($A27="","",COUNTIFS(Bronnen!$B$5:$B$504,$A27,Bronnen!$H$5:$H$504,"Ontvangen")+COUNTIFS(Bronnen!$B$5:$B$504,$A27,Bronnen!$H$5:$H$504,"In analyse")+COUNTIFS(Bronnen!$B$5:$B$504,$A27,Bronnen!$H$5:$H$504,"Verwerkt"))</f>
        <v/>
      </c>
      <c r="O27" s="27" t="str">
        <f aca="false">IF($A27="","",COUNTIFS(Bronnen!$B$5:$B$504,$A27,Bronnen!$H$5:$H$504,"Ontvangen")+COUNTIFS(Bronnen!$B$5:$B$504,$A27,Bronnen!$H$5:$H$504,"In analyse"))</f>
        <v/>
      </c>
      <c r="P27" s="30" t="str">
        <f aca="false">IF($A27="","",INDEX(Leads!$Q$5:$Q$504,23))</f>
        <v/>
      </c>
    </row>
    <row r="28" customFormat="false" ht="15" hidden="false" customHeight="false" outlineLevel="0" collapsed="false">
      <c r="A28" s="27" t="str">
        <f aca="false">IFERROR(IF(INDEX(Leads!$A$5:$A$504,24)="","",INDEX(Leads!$A$5:$A$504,24)),"")</f>
        <v/>
      </c>
      <c r="B28" s="27" t="str">
        <f aca="false">IF($A28="","",INDEX(Leads!$C$5:$C$504,24))</f>
        <v/>
      </c>
      <c r="C28" s="27" t="str">
        <f aca="false">IF($A28="","",INDEX(Leads!$B$5:$B$504,24))</f>
        <v/>
      </c>
      <c r="D28" s="27" t="str">
        <f aca="false">IF($A28="","",INDEX(Leads!$J$5:$J$504,24))</f>
        <v/>
      </c>
      <c r="E28" s="27" t="str">
        <f aca="false">IF($A28="","",INDEX(Leads!$L$5:$L$504,24))</f>
        <v/>
      </c>
      <c r="F28" s="27" t="str">
        <f aca="false">IF($A28="","",COUNTIFS(Voortgang!$B$5:$B$504,$A28))</f>
        <v/>
      </c>
      <c r="G28" s="27" t="str">
        <f aca="false">IF($A28="","",COUNTIFS(Voortgang!$B$5:$B$504,$A28,Voortgang!$G$5:$G$504,"Gereed"))</f>
        <v/>
      </c>
      <c r="H28" s="27" t="str">
        <f aca="false">IF($A28="","",COUNTIFS(Voortgang!$B$5:$B$504,$A28,Voortgang!$G$5:$G$504,"Loopt"))</f>
        <v/>
      </c>
      <c r="I28" s="28" t="str">
        <f aca="false">IF($A28="","",COUNTIFS(Voortgang!$B$5:$B$504,$A28,Voortgang!$G$5:$G$504,"Geblokkeerd"))</f>
        <v/>
      </c>
      <c r="J28" s="29" t="str">
        <f aca="false">IF($A28="","",IFERROR($G28/($F28-COUNTIFS(Voortgang!$B$5:$B$504,$A28,Voortgang!$G$5:$G$504,"Niet van toepassing")),""))</f>
        <v/>
      </c>
      <c r="K28" s="27" t="str">
        <f aca="false">IF($A28="","",IFERROR(IF(_xlfn.MINIFS(Voortgang!$L$5:$L$504,Voortgang!$B$5:$B$504,$A28)=9999,"Alle stappen afgerond",INDEX(Voortgang!$E$5:$E$504,MATCH($A28&amp;"|"&amp;TEXT(_xlfn.MINIFS(Voortgang!$L$5:$L$504,Voortgang!$B$5:$B$504,$A28),"00"),Voortgang!$M$5:$M$504,0))),""))</f>
        <v/>
      </c>
      <c r="L28" s="27" t="str">
        <f aca="false">IF($A28="","",COUNTIFS(Overeenkomsten!$B$5:$B$504,$A28,Overeenkomsten!$E$5:$E$504,"Getekend"))</f>
        <v/>
      </c>
      <c r="M28" s="27" t="str">
        <f aca="false">IF($A28="","",COUNTIFS(Overeenkomsten!$B$5:$B$504,$A28)-$L28)</f>
        <v/>
      </c>
      <c r="N28" s="27" t="str">
        <f aca="false">IF($A28="","",COUNTIFS(Bronnen!$B$5:$B$504,$A28,Bronnen!$H$5:$H$504,"Ontvangen")+COUNTIFS(Bronnen!$B$5:$B$504,$A28,Bronnen!$H$5:$H$504,"In analyse")+COUNTIFS(Bronnen!$B$5:$B$504,$A28,Bronnen!$H$5:$H$504,"Verwerkt"))</f>
        <v/>
      </c>
      <c r="O28" s="27" t="str">
        <f aca="false">IF($A28="","",COUNTIFS(Bronnen!$B$5:$B$504,$A28,Bronnen!$H$5:$H$504,"Ontvangen")+COUNTIFS(Bronnen!$B$5:$B$504,$A28,Bronnen!$H$5:$H$504,"In analyse"))</f>
        <v/>
      </c>
      <c r="P28" s="30" t="str">
        <f aca="false">IF($A28="","",INDEX(Leads!$Q$5:$Q$504,24))</f>
        <v/>
      </c>
    </row>
    <row r="29" customFormat="false" ht="15" hidden="false" customHeight="false" outlineLevel="0" collapsed="false">
      <c r="A29" s="27" t="str">
        <f aca="false">IFERROR(IF(INDEX(Leads!$A$5:$A$504,25)="","",INDEX(Leads!$A$5:$A$504,25)),"")</f>
        <v/>
      </c>
      <c r="B29" s="27" t="str">
        <f aca="false">IF($A29="","",INDEX(Leads!$C$5:$C$504,25))</f>
        <v/>
      </c>
      <c r="C29" s="27" t="str">
        <f aca="false">IF($A29="","",INDEX(Leads!$B$5:$B$504,25))</f>
        <v/>
      </c>
      <c r="D29" s="27" t="str">
        <f aca="false">IF($A29="","",INDEX(Leads!$J$5:$J$504,25))</f>
        <v/>
      </c>
      <c r="E29" s="27" t="str">
        <f aca="false">IF($A29="","",INDEX(Leads!$L$5:$L$504,25))</f>
        <v/>
      </c>
      <c r="F29" s="27" t="str">
        <f aca="false">IF($A29="","",COUNTIFS(Voortgang!$B$5:$B$504,$A29))</f>
        <v/>
      </c>
      <c r="G29" s="27" t="str">
        <f aca="false">IF($A29="","",COUNTIFS(Voortgang!$B$5:$B$504,$A29,Voortgang!$G$5:$G$504,"Gereed"))</f>
        <v/>
      </c>
      <c r="H29" s="27" t="str">
        <f aca="false">IF($A29="","",COUNTIFS(Voortgang!$B$5:$B$504,$A29,Voortgang!$G$5:$G$504,"Loopt"))</f>
        <v/>
      </c>
      <c r="I29" s="28" t="str">
        <f aca="false">IF($A29="","",COUNTIFS(Voortgang!$B$5:$B$504,$A29,Voortgang!$G$5:$G$504,"Geblokkeerd"))</f>
        <v/>
      </c>
      <c r="J29" s="29" t="str">
        <f aca="false">IF($A29="","",IFERROR($G29/($F29-COUNTIFS(Voortgang!$B$5:$B$504,$A29,Voortgang!$G$5:$G$504,"Niet van toepassing")),""))</f>
        <v/>
      </c>
      <c r="K29" s="27" t="str">
        <f aca="false">IF($A29="","",IFERROR(IF(_xlfn.MINIFS(Voortgang!$L$5:$L$504,Voortgang!$B$5:$B$504,$A29)=9999,"Alle stappen afgerond",INDEX(Voortgang!$E$5:$E$504,MATCH($A29&amp;"|"&amp;TEXT(_xlfn.MINIFS(Voortgang!$L$5:$L$504,Voortgang!$B$5:$B$504,$A29),"00"),Voortgang!$M$5:$M$504,0))),""))</f>
        <v/>
      </c>
      <c r="L29" s="27" t="str">
        <f aca="false">IF($A29="","",COUNTIFS(Overeenkomsten!$B$5:$B$504,$A29,Overeenkomsten!$E$5:$E$504,"Getekend"))</f>
        <v/>
      </c>
      <c r="M29" s="27" t="str">
        <f aca="false">IF($A29="","",COUNTIFS(Overeenkomsten!$B$5:$B$504,$A29)-$L29)</f>
        <v/>
      </c>
      <c r="N29" s="27" t="str">
        <f aca="false">IF($A29="","",COUNTIFS(Bronnen!$B$5:$B$504,$A29,Bronnen!$H$5:$H$504,"Ontvangen")+COUNTIFS(Bronnen!$B$5:$B$504,$A29,Bronnen!$H$5:$H$504,"In analyse")+COUNTIFS(Bronnen!$B$5:$B$504,$A29,Bronnen!$H$5:$H$504,"Verwerkt"))</f>
        <v/>
      </c>
      <c r="O29" s="27" t="str">
        <f aca="false">IF($A29="","",COUNTIFS(Bronnen!$B$5:$B$504,$A29,Bronnen!$H$5:$H$504,"Ontvangen")+COUNTIFS(Bronnen!$B$5:$B$504,$A29,Bronnen!$H$5:$H$504,"In analyse"))</f>
        <v/>
      </c>
      <c r="P29" s="30" t="str">
        <f aca="false">IF($A29="","",INDEX(Leads!$Q$5:$Q$504,25))</f>
        <v/>
      </c>
    </row>
    <row r="30" customFormat="false" ht="15" hidden="false" customHeight="false" outlineLevel="0" collapsed="false">
      <c r="A30" s="27" t="str">
        <f aca="false">IFERROR(IF(INDEX(Leads!$A$5:$A$504,26)="","",INDEX(Leads!$A$5:$A$504,26)),"")</f>
        <v/>
      </c>
      <c r="B30" s="27" t="str">
        <f aca="false">IF($A30="","",INDEX(Leads!$C$5:$C$504,26))</f>
        <v/>
      </c>
      <c r="C30" s="27" t="str">
        <f aca="false">IF($A30="","",INDEX(Leads!$B$5:$B$504,26))</f>
        <v/>
      </c>
      <c r="D30" s="27" t="str">
        <f aca="false">IF($A30="","",INDEX(Leads!$J$5:$J$504,26))</f>
        <v/>
      </c>
      <c r="E30" s="27" t="str">
        <f aca="false">IF($A30="","",INDEX(Leads!$L$5:$L$504,26))</f>
        <v/>
      </c>
      <c r="F30" s="27" t="str">
        <f aca="false">IF($A30="","",COUNTIFS(Voortgang!$B$5:$B$504,$A30))</f>
        <v/>
      </c>
      <c r="G30" s="27" t="str">
        <f aca="false">IF($A30="","",COUNTIFS(Voortgang!$B$5:$B$504,$A30,Voortgang!$G$5:$G$504,"Gereed"))</f>
        <v/>
      </c>
      <c r="H30" s="27" t="str">
        <f aca="false">IF($A30="","",COUNTIFS(Voortgang!$B$5:$B$504,$A30,Voortgang!$G$5:$G$504,"Loopt"))</f>
        <v/>
      </c>
      <c r="I30" s="28" t="str">
        <f aca="false">IF($A30="","",COUNTIFS(Voortgang!$B$5:$B$504,$A30,Voortgang!$G$5:$G$504,"Geblokkeerd"))</f>
        <v/>
      </c>
      <c r="J30" s="29" t="str">
        <f aca="false">IF($A30="","",IFERROR($G30/($F30-COUNTIFS(Voortgang!$B$5:$B$504,$A30,Voortgang!$G$5:$G$504,"Niet van toepassing")),""))</f>
        <v/>
      </c>
      <c r="K30" s="27" t="str">
        <f aca="false">IF($A30="","",IFERROR(IF(_xlfn.MINIFS(Voortgang!$L$5:$L$504,Voortgang!$B$5:$B$504,$A30)=9999,"Alle stappen afgerond",INDEX(Voortgang!$E$5:$E$504,MATCH($A30&amp;"|"&amp;TEXT(_xlfn.MINIFS(Voortgang!$L$5:$L$504,Voortgang!$B$5:$B$504,$A30),"00"),Voortgang!$M$5:$M$504,0))),""))</f>
        <v/>
      </c>
      <c r="L30" s="27" t="str">
        <f aca="false">IF($A30="","",COUNTIFS(Overeenkomsten!$B$5:$B$504,$A30,Overeenkomsten!$E$5:$E$504,"Getekend"))</f>
        <v/>
      </c>
      <c r="M30" s="27" t="str">
        <f aca="false">IF($A30="","",COUNTIFS(Overeenkomsten!$B$5:$B$504,$A30)-$L30)</f>
        <v/>
      </c>
      <c r="N30" s="27" t="str">
        <f aca="false">IF($A30="","",COUNTIFS(Bronnen!$B$5:$B$504,$A30,Bronnen!$H$5:$H$504,"Ontvangen")+COUNTIFS(Bronnen!$B$5:$B$504,$A30,Bronnen!$H$5:$H$504,"In analyse")+COUNTIFS(Bronnen!$B$5:$B$504,$A30,Bronnen!$H$5:$H$504,"Verwerkt"))</f>
        <v/>
      </c>
      <c r="O30" s="27" t="str">
        <f aca="false">IF($A30="","",COUNTIFS(Bronnen!$B$5:$B$504,$A30,Bronnen!$H$5:$H$504,"Ontvangen")+COUNTIFS(Bronnen!$B$5:$B$504,$A30,Bronnen!$H$5:$H$504,"In analyse"))</f>
        <v/>
      </c>
      <c r="P30" s="30" t="str">
        <f aca="false">IF($A30="","",INDEX(Leads!$Q$5:$Q$504,26))</f>
        <v/>
      </c>
    </row>
    <row r="31" customFormat="false" ht="15" hidden="false" customHeight="false" outlineLevel="0" collapsed="false">
      <c r="A31" s="27" t="str">
        <f aca="false">IFERROR(IF(INDEX(Leads!$A$5:$A$504,27)="","",INDEX(Leads!$A$5:$A$504,27)),"")</f>
        <v/>
      </c>
      <c r="B31" s="27" t="str">
        <f aca="false">IF($A31="","",INDEX(Leads!$C$5:$C$504,27))</f>
        <v/>
      </c>
      <c r="C31" s="27" t="str">
        <f aca="false">IF($A31="","",INDEX(Leads!$B$5:$B$504,27))</f>
        <v/>
      </c>
      <c r="D31" s="27" t="str">
        <f aca="false">IF($A31="","",INDEX(Leads!$J$5:$J$504,27))</f>
        <v/>
      </c>
      <c r="E31" s="27" t="str">
        <f aca="false">IF($A31="","",INDEX(Leads!$L$5:$L$504,27))</f>
        <v/>
      </c>
      <c r="F31" s="27" t="str">
        <f aca="false">IF($A31="","",COUNTIFS(Voortgang!$B$5:$B$504,$A31))</f>
        <v/>
      </c>
      <c r="G31" s="27" t="str">
        <f aca="false">IF($A31="","",COUNTIFS(Voortgang!$B$5:$B$504,$A31,Voortgang!$G$5:$G$504,"Gereed"))</f>
        <v/>
      </c>
      <c r="H31" s="27" t="str">
        <f aca="false">IF($A31="","",COUNTIFS(Voortgang!$B$5:$B$504,$A31,Voortgang!$G$5:$G$504,"Loopt"))</f>
        <v/>
      </c>
      <c r="I31" s="28" t="str">
        <f aca="false">IF($A31="","",COUNTIFS(Voortgang!$B$5:$B$504,$A31,Voortgang!$G$5:$G$504,"Geblokkeerd"))</f>
        <v/>
      </c>
      <c r="J31" s="29" t="str">
        <f aca="false">IF($A31="","",IFERROR($G31/($F31-COUNTIFS(Voortgang!$B$5:$B$504,$A31,Voortgang!$G$5:$G$504,"Niet van toepassing")),""))</f>
        <v/>
      </c>
      <c r="K31" s="27" t="str">
        <f aca="false">IF($A31="","",IFERROR(IF(_xlfn.MINIFS(Voortgang!$L$5:$L$504,Voortgang!$B$5:$B$504,$A31)=9999,"Alle stappen afgerond",INDEX(Voortgang!$E$5:$E$504,MATCH($A31&amp;"|"&amp;TEXT(_xlfn.MINIFS(Voortgang!$L$5:$L$504,Voortgang!$B$5:$B$504,$A31),"00"),Voortgang!$M$5:$M$504,0))),""))</f>
        <v/>
      </c>
      <c r="L31" s="27" t="str">
        <f aca="false">IF($A31="","",COUNTIFS(Overeenkomsten!$B$5:$B$504,$A31,Overeenkomsten!$E$5:$E$504,"Getekend"))</f>
        <v/>
      </c>
      <c r="M31" s="27" t="str">
        <f aca="false">IF($A31="","",COUNTIFS(Overeenkomsten!$B$5:$B$504,$A31)-$L31)</f>
        <v/>
      </c>
      <c r="N31" s="27" t="str">
        <f aca="false">IF($A31="","",COUNTIFS(Bronnen!$B$5:$B$504,$A31,Bronnen!$H$5:$H$504,"Ontvangen")+COUNTIFS(Bronnen!$B$5:$B$504,$A31,Bronnen!$H$5:$H$504,"In analyse")+COUNTIFS(Bronnen!$B$5:$B$504,$A31,Bronnen!$H$5:$H$504,"Verwerkt"))</f>
        <v/>
      </c>
      <c r="O31" s="27" t="str">
        <f aca="false">IF($A31="","",COUNTIFS(Bronnen!$B$5:$B$504,$A31,Bronnen!$H$5:$H$504,"Ontvangen")+COUNTIFS(Bronnen!$B$5:$B$504,$A31,Bronnen!$H$5:$H$504,"In analyse"))</f>
        <v/>
      </c>
      <c r="P31" s="30" t="str">
        <f aca="false">IF($A31="","",INDEX(Leads!$Q$5:$Q$504,27))</f>
        <v/>
      </c>
    </row>
    <row r="32" customFormat="false" ht="15" hidden="false" customHeight="false" outlineLevel="0" collapsed="false">
      <c r="A32" s="27" t="str">
        <f aca="false">IFERROR(IF(INDEX(Leads!$A$5:$A$504,28)="","",INDEX(Leads!$A$5:$A$504,28)),"")</f>
        <v/>
      </c>
      <c r="B32" s="27" t="str">
        <f aca="false">IF($A32="","",INDEX(Leads!$C$5:$C$504,28))</f>
        <v/>
      </c>
      <c r="C32" s="27" t="str">
        <f aca="false">IF($A32="","",INDEX(Leads!$B$5:$B$504,28))</f>
        <v/>
      </c>
      <c r="D32" s="27" t="str">
        <f aca="false">IF($A32="","",INDEX(Leads!$J$5:$J$504,28))</f>
        <v/>
      </c>
      <c r="E32" s="27" t="str">
        <f aca="false">IF($A32="","",INDEX(Leads!$L$5:$L$504,28))</f>
        <v/>
      </c>
      <c r="F32" s="27" t="str">
        <f aca="false">IF($A32="","",COUNTIFS(Voortgang!$B$5:$B$504,$A32))</f>
        <v/>
      </c>
      <c r="G32" s="27" t="str">
        <f aca="false">IF($A32="","",COUNTIFS(Voortgang!$B$5:$B$504,$A32,Voortgang!$G$5:$G$504,"Gereed"))</f>
        <v/>
      </c>
      <c r="H32" s="27" t="str">
        <f aca="false">IF($A32="","",COUNTIFS(Voortgang!$B$5:$B$504,$A32,Voortgang!$G$5:$G$504,"Loopt"))</f>
        <v/>
      </c>
      <c r="I32" s="28" t="str">
        <f aca="false">IF($A32="","",COUNTIFS(Voortgang!$B$5:$B$504,$A32,Voortgang!$G$5:$G$504,"Geblokkeerd"))</f>
        <v/>
      </c>
      <c r="J32" s="29" t="str">
        <f aca="false">IF($A32="","",IFERROR($G32/($F32-COUNTIFS(Voortgang!$B$5:$B$504,$A32,Voortgang!$G$5:$G$504,"Niet van toepassing")),""))</f>
        <v/>
      </c>
      <c r="K32" s="27" t="str">
        <f aca="false">IF($A32="","",IFERROR(IF(_xlfn.MINIFS(Voortgang!$L$5:$L$504,Voortgang!$B$5:$B$504,$A32)=9999,"Alle stappen afgerond",INDEX(Voortgang!$E$5:$E$504,MATCH($A32&amp;"|"&amp;TEXT(_xlfn.MINIFS(Voortgang!$L$5:$L$504,Voortgang!$B$5:$B$504,$A32),"00"),Voortgang!$M$5:$M$504,0))),""))</f>
        <v/>
      </c>
      <c r="L32" s="27" t="str">
        <f aca="false">IF($A32="","",COUNTIFS(Overeenkomsten!$B$5:$B$504,$A32,Overeenkomsten!$E$5:$E$504,"Getekend"))</f>
        <v/>
      </c>
      <c r="M32" s="27" t="str">
        <f aca="false">IF($A32="","",COUNTIFS(Overeenkomsten!$B$5:$B$504,$A32)-$L32)</f>
        <v/>
      </c>
      <c r="N32" s="27" t="str">
        <f aca="false">IF($A32="","",COUNTIFS(Bronnen!$B$5:$B$504,$A32,Bronnen!$H$5:$H$504,"Ontvangen")+COUNTIFS(Bronnen!$B$5:$B$504,$A32,Bronnen!$H$5:$H$504,"In analyse")+COUNTIFS(Bronnen!$B$5:$B$504,$A32,Bronnen!$H$5:$H$504,"Verwerkt"))</f>
        <v/>
      </c>
      <c r="O32" s="27" t="str">
        <f aca="false">IF($A32="","",COUNTIFS(Bronnen!$B$5:$B$504,$A32,Bronnen!$H$5:$H$504,"Ontvangen")+COUNTIFS(Bronnen!$B$5:$B$504,$A32,Bronnen!$H$5:$H$504,"In analyse"))</f>
        <v/>
      </c>
      <c r="P32" s="30" t="str">
        <f aca="false">IF($A32="","",INDEX(Leads!$Q$5:$Q$504,28))</f>
        <v/>
      </c>
    </row>
    <row r="33" customFormat="false" ht="15" hidden="false" customHeight="false" outlineLevel="0" collapsed="false">
      <c r="A33" s="27" t="str">
        <f aca="false">IFERROR(IF(INDEX(Leads!$A$5:$A$504,29)="","",INDEX(Leads!$A$5:$A$504,29)),"")</f>
        <v/>
      </c>
      <c r="B33" s="27" t="str">
        <f aca="false">IF($A33="","",INDEX(Leads!$C$5:$C$504,29))</f>
        <v/>
      </c>
      <c r="C33" s="27" t="str">
        <f aca="false">IF($A33="","",INDEX(Leads!$B$5:$B$504,29))</f>
        <v/>
      </c>
      <c r="D33" s="27" t="str">
        <f aca="false">IF($A33="","",INDEX(Leads!$J$5:$J$504,29))</f>
        <v/>
      </c>
      <c r="E33" s="27" t="str">
        <f aca="false">IF($A33="","",INDEX(Leads!$L$5:$L$504,29))</f>
        <v/>
      </c>
      <c r="F33" s="27" t="str">
        <f aca="false">IF($A33="","",COUNTIFS(Voortgang!$B$5:$B$504,$A33))</f>
        <v/>
      </c>
      <c r="G33" s="27" t="str">
        <f aca="false">IF($A33="","",COUNTIFS(Voortgang!$B$5:$B$504,$A33,Voortgang!$G$5:$G$504,"Gereed"))</f>
        <v/>
      </c>
      <c r="H33" s="27" t="str">
        <f aca="false">IF($A33="","",COUNTIFS(Voortgang!$B$5:$B$504,$A33,Voortgang!$G$5:$G$504,"Loopt"))</f>
        <v/>
      </c>
      <c r="I33" s="28" t="str">
        <f aca="false">IF($A33="","",COUNTIFS(Voortgang!$B$5:$B$504,$A33,Voortgang!$G$5:$G$504,"Geblokkeerd"))</f>
        <v/>
      </c>
      <c r="J33" s="29" t="str">
        <f aca="false">IF($A33="","",IFERROR($G33/($F33-COUNTIFS(Voortgang!$B$5:$B$504,$A33,Voortgang!$G$5:$G$504,"Niet van toepassing")),""))</f>
        <v/>
      </c>
      <c r="K33" s="27" t="str">
        <f aca="false">IF($A33="","",IFERROR(IF(_xlfn.MINIFS(Voortgang!$L$5:$L$504,Voortgang!$B$5:$B$504,$A33)=9999,"Alle stappen afgerond",INDEX(Voortgang!$E$5:$E$504,MATCH($A33&amp;"|"&amp;TEXT(_xlfn.MINIFS(Voortgang!$L$5:$L$504,Voortgang!$B$5:$B$504,$A33),"00"),Voortgang!$M$5:$M$504,0))),""))</f>
        <v/>
      </c>
      <c r="L33" s="27" t="str">
        <f aca="false">IF($A33="","",COUNTIFS(Overeenkomsten!$B$5:$B$504,$A33,Overeenkomsten!$E$5:$E$504,"Getekend"))</f>
        <v/>
      </c>
      <c r="M33" s="27" t="str">
        <f aca="false">IF($A33="","",COUNTIFS(Overeenkomsten!$B$5:$B$504,$A33)-$L33)</f>
        <v/>
      </c>
      <c r="N33" s="27" t="str">
        <f aca="false">IF($A33="","",COUNTIFS(Bronnen!$B$5:$B$504,$A33,Bronnen!$H$5:$H$504,"Ontvangen")+COUNTIFS(Bronnen!$B$5:$B$504,$A33,Bronnen!$H$5:$H$504,"In analyse")+COUNTIFS(Bronnen!$B$5:$B$504,$A33,Bronnen!$H$5:$H$504,"Verwerkt"))</f>
        <v/>
      </c>
      <c r="O33" s="27" t="str">
        <f aca="false">IF($A33="","",COUNTIFS(Bronnen!$B$5:$B$504,$A33,Bronnen!$H$5:$H$504,"Ontvangen")+COUNTIFS(Bronnen!$B$5:$B$504,$A33,Bronnen!$H$5:$H$504,"In analyse"))</f>
        <v/>
      </c>
      <c r="P33" s="30" t="str">
        <f aca="false">IF($A33="","",INDEX(Leads!$Q$5:$Q$504,29))</f>
        <v/>
      </c>
    </row>
    <row r="34" customFormat="false" ht="15" hidden="false" customHeight="false" outlineLevel="0" collapsed="false">
      <c r="A34" s="27" t="str">
        <f aca="false">IFERROR(IF(INDEX(Leads!$A$5:$A$504,30)="","",INDEX(Leads!$A$5:$A$504,30)),"")</f>
        <v/>
      </c>
      <c r="B34" s="27" t="str">
        <f aca="false">IF($A34="","",INDEX(Leads!$C$5:$C$504,30))</f>
        <v/>
      </c>
      <c r="C34" s="27" t="str">
        <f aca="false">IF($A34="","",INDEX(Leads!$B$5:$B$504,30))</f>
        <v/>
      </c>
      <c r="D34" s="27" t="str">
        <f aca="false">IF($A34="","",INDEX(Leads!$J$5:$J$504,30))</f>
        <v/>
      </c>
      <c r="E34" s="27" t="str">
        <f aca="false">IF($A34="","",INDEX(Leads!$L$5:$L$504,30))</f>
        <v/>
      </c>
      <c r="F34" s="27" t="str">
        <f aca="false">IF($A34="","",COUNTIFS(Voortgang!$B$5:$B$504,$A34))</f>
        <v/>
      </c>
      <c r="G34" s="27" t="str">
        <f aca="false">IF($A34="","",COUNTIFS(Voortgang!$B$5:$B$504,$A34,Voortgang!$G$5:$G$504,"Gereed"))</f>
        <v/>
      </c>
      <c r="H34" s="27" t="str">
        <f aca="false">IF($A34="","",COUNTIFS(Voortgang!$B$5:$B$504,$A34,Voortgang!$G$5:$G$504,"Loopt"))</f>
        <v/>
      </c>
      <c r="I34" s="28" t="str">
        <f aca="false">IF($A34="","",COUNTIFS(Voortgang!$B$5:$B$504,$A34,Voortgang!$G$5:$G$504,"Geblokkeerd"))</f>
        <v/>
      </c>
      <c r="J34" s="29" t="str">
        <f aca="false">IF($A34="","",IFERROR($G34/($F34-COUNTIFS(Voortgang!$B$5:$B$504,$A34,Voortgang!$G$5:$G$504,"Niet van toepassing")),""))</f>
        <v/>
      </c>
      <c r="K34" s="27" t="str">
        <f aca="false">IF($A34="","",IFERROR(IF(_xlfn.MINIFS(Voortgang!$L$5:$L$504,Voortgang!$B$5:$B$504,$A34)=9999,"Alle stappen afgerond",INDEX(Voortgang!$E$5:$E$504,MATCH($A34&amp;"|"&amp;TEXT(_xlfn.MINIFS(Voortgang!$L$5:$L$504,Voortgang!$B$5:$B$504,$A34),"00"),Voortgang!$M$5:$M$504,0))),""))</f>
        <v/>
      </c>
      <c r="L34" s="27" t="str">
        <f aca="false">IF($A34="","",COUNTIFS(Overeenkomsten!$B$5:$B$504,$A34,Overeenkomsten!$E$5:$E$504,"Getekend"))</f>
        <v/>
      </c>
      <c r="M34" s="27" t="str">
        <f aca="false">IF($A34="","",COUNTIFS(Overeenkomsten!$B$5:$B$504,$A34)-$L34)</f>
        <v/>
      </c>
      <c r="N34" s="27" t="str">
        <f aca="false">IF($A34="","",COUNTIFS(Bronnen!$B$5:$B$504,$A34,Bronnen!$H$5:$H$504,"Ontvangen")+COUNTIFS(Bronnen!$B$5:$B$504,$A34,Bronnen!$H$5:$H$504,"In analyse")+COUNTIFS(Bronnen!$B$5:$B$504,$A34,Bronnen!$H$5:$H$504,"Verwerkt"))</f>
        <v/>
      </c>
      <c r="O34" s="27" t="str">
        <f aca="false">IF($A34="","",COUNTIFS(Bronnen!$B$5:$B$504,$A34,Bronnen!$H$5:$H$504,"Ontvangen")+COUNTIFS(Bronnen!$B$5:$B$504,$A34,Bronnen!$H$5:$H$504,"In analyse"))</f>
        <v/>
      </c>
      <c r="P34" s="30" t="str">
        <f aca="false">IF($A34="","",INDEX(Leads!$Q$5:$Q$504,30))</f>
        <v/>
      </c>
    </row>
    <row r="35" customFormat="false" ht="15" hidden="false" customHeight="false" outlineLevel="0" collapsed="false">
      <c r="A35" s="27" t="str">
        <f aca="false">IFERROR(IF(INDEX(Leads!$A$5:$A$504,31)="","",INDEX(Leads!$A$5:$A$504,31)),"")</f>
        <v/>
      </c>
      <c r="B35" s="27" t="str">
        <f aca="false">IF($A35="","",INDEX(Leads!$C$5:$C$504,31))</f>
        <v/>
      </c>
      <c r="C35" s="27" t="str">
        <f aca="false">IF($A35="","",INDEX(Leads!$B$5:$B$504,31))</f>
        <v/>
      </c>
      <c r="D35" s="27" t="str">
        <f aca="false">IF($A35="","",INDEX(Leads!$J$5:$J$504,31))</f>
        <v/>
      </c>
      <c r="E35" s="27" t="str">
        <f aca="false">IF($A35="","",INDEX(Leads!$L$5:$L$504,31))</f>
        <v/>
      </c>
      <c r="F35" s="27" t="str">
        <f aca="false">IF($A35="","",COUNTIFS(Voortgang!$B$5:$B$504,$A35))</f>
        <v/>
      </c>
      <c r="G35" s="27" t="str">
        <f aca="false">IF($A35="","",COUNTIFS(Voortgang!$B$5:$B$504,$A35,Voortgang!$G$5:$G$504,"Gereed"))</f>
        <v/>
      </c>
      <c r="H35" s="27" t="str">
        <f aca="false">IF($A35="","",COUNTIFS(Voortgang!$B$5:$B$504,$A35,Voortgang!$G$5:$G$504,"Loopt"))</f>
        <v/>
      </c>
      <c r="I35" s="28" t="str">
        <f aca="false">IF($A35="","",COUNTIFS(Voortgang!$B$5:$B$504,$A35,Voortgang!$G$5:$G$504,"Geblokkeerd"))</f>
        <v/>
      </c>
      <c r="J35" s="29" t="str">
        <f aca="false">IF($A35="","",IFERROR($G35/($F35-COUNTIFS(Voortgang!$B$5:$B$504,$A35,Voortgang!$G$5:$G$504,"Niet van toepassing")),""))</f>
        <v/>
      </c>
      <c r="K35" s="27" t="str">
        <f aca="false">IF($A35="","",IFERROR(IF(_xlfn.MINIFS(Voortgang!$L$5:$L$504,Voortgang!$B$5:$B$504,$A35)=9999,"Alle stappen afgerond",INDEX(Voortgang!$E$5:$E$504,MATCH($A35&amp;"|"&amp;TEXT(_xlfn.MINIFS(Voortgang!$L$5:$L$504,Voortgang!$B$5:$B$504,$A35),"00"),Voortgang!$M$5:$M$504,0))),""))</f>
        <v/>
      </c>
      <c r="L35" s="27" t="str">
        <f aca="false">IF($A35="","",COUNTIFS(Overeenkomsten!$B$5:$B$504,$A35,Overeenkomsten!$E$5:$E$504,"Getekend"))</f>
        <v/>
      </c>
      <c r="M35" s="27" t="str">
        <f aca="false">IF($A35="","",COUNTIFS(Overeenkomsten!$B$5:$B$504,$A35)-$L35)</f>
        <v/>
      </c>
      <c r="N35" s="27" t="str">
        <f aca="false">IF($A35="","",COUNTIFS(Bronnen!$B$5:$B$504,$A35,Bronnen!$H$5:$H$504,"Ontvangen")+COUNTIFS(Bronnen!$B$5:$B$504,$A35,Bronnen!$H$5:$H$504,"In analyse")+COUNTIFS(Bronnen!$B$5:$B$504,$A35,Bronnen!$H$5:$H$504,"Verwerkt"))</f>
        <v/>
      </c>
      <c r="O35" s="27" t="str">
        <f aca="false">IF($A35="","",COUNTIFS(Bronnen!$B$5:$B$504,$A35,Bronnen!$H$5:$H$504,"Ontvangen")+COUNTIFS(Bronnen!$B$5:$B$504,$A35,Bronnen!$H$5:$H$504,"In analyse"))</f>
        <v/>
      </c>
      <c r="P35" s="30" t="str">
        <f aca="false">IF($A35="","",INDEX(Leads!$Q$5:$Q$504,31))</f>
        <v/>
      </c>
    </row>
    <row r="36" customFormat="false" ht="15" hidden="false" customHeight="false" outlineLevel="0" collapsed="false">
      <c r="A36" s="27" t="str">
        <f aca="false">IFERROR(IF(INDEX(Leads!$A$5:$A$504,32)="","",INDEX(Leads!$A$5:$A$504,32)),"")</f>
        <v/>
      </c>
      <c r="B36" s="27" t="str">
        <f aca="false">IF($A36="","",INDEX(Leads!$C$5:$C$504,32))</f>
        <v/>
      </c>
      <c r="C36" s="27" t="str">
        <f aca="false">IF($A36="","",INDEX(Leads!$B$5:$B$504,32))</f>
        <v/>
      </c>
      <c r="D36" s="27" t="str">
        <f aca="false">IF($A36="","",INDEX(Leads!$J$5:$J$504,32))</f>
        <v/>
      </c>
      <c r="E36" s="27" t="str">
        <f aca="false">IF($A36="","",INDEX(Leads!$L$5:$L$504,32))</f>
        <v/>
      </c>
      <c r="F36" s="27" t="str">
        <f aca="false">IF($A36="","",COUNTIFS(Voortgang!$B$5:$B$504,$A36))</f>
        <v/>
      </c>
      <c r="G36" s="27" t="str">
        <f aca="false">IF($A36="","",COUNTIFS(Voortgang!$B$5:$B$504,$A36,Voortgang!$G$5:$G$504,"Gereed"))</f>
        <v/>
      </c>
      <c r="H36" s="27" t="str">
        <f aca="false">IF($A36="","",COUNTIFS(Voortgang!$B$5:$B$504,$A36,Voortgang!$G$5:$G$504,"Loopt"))</f>
        <v/>
      </c>
      <c r="I36" s="28" t="str">
        <f aca="false">IF($A36="","",COUNTIFS(Voortgang!$B$5:$B$504,$A36,Voortgang!$G$5:$G$504,"Geblokkeerd"))</f>
        <v/>
      </c>
      <c r="J36" s="29" t="str">
        <f aca="false">IF($A36="","",IFERROR($G36/($F36-COUNTIFS(Voortgang!$B$5:$B$504,$A36,Voortgang!$G$5:$G$504,"Niet van toepassing")),""))</f>
        <v/>
      </c>
      <c r="K36" s="27" t="str">
        <f aca="false">IF($A36="","",IFERROR(IF(_xlfn.MINIFS(Voortgang!$L$5:$L$504,Voortgang!$B$5:$B$504,$A36)=9999,"Alle stappen afgerond",INDEX(Voortgang!$E$5:$E$504,MATCH($A36&amp;"|"&amp;TEXT(_xlfn.MINIFS(Voortgang!$L$5:$L$504,Voortgang!$B$5:$B$504,$A36),"00"),Voortgang!$M$5:$M$504,0))),""))</f>
        <v/>
      </c>
      <c r="L36" s="27" t="str">
        <f aca="false">IF($A36="","",COUNTIFS(Overeenkomsten!$B$5:$B$504,$A36,Overeenkomsten!$E$5:$E$504,"Getekend"))</f>
        <v/>
      </c>
      <c r="M36" s="27" t="str">
        <f aca="false">IF($A36="","",COUNTIFS(Overeenkomsten!$B$5:$B$504,$A36)-$L36)</f>
        <v/>
      </c>
      <c r="N36" s="27" t="str">
        <f aca="false">IF($A36="","",COUNTIFS(Bronnen!$B$5:$B$504,$A36,Bronnen!$H$5:$H$504,"Ontvangen")+COUNTIFS(Bronnen!$B$5:$B$504,$A36,Bronnen!$H$5:$H$504,"In analyse")+COUNTIFS(Bronnen!$B$5:$B$504,$A36,Bronnen!$H$5:$H$504,"Verwerkt"))</f>
        <v/>
      </c>
      <c r="O36" s="27" t="str">
        <f aca="false">IF($A36="","",COUNTIFS(Bronnen!$B$5:$B$504,$A36,Bronnen!$H$5:$H$504,"Ontvangen")+COUNTIFS(Bronnen!$B$5:$B$504,$A36,Bronnen!$H$5:$H$504,"In analyse"))</f>
        <v/>
      </c>
      <c r="P36" s="30" t="str">
        <f aca="false">IF($A36="","",INDEX(Leads!$Q$5:$Q$504,32))</f>
        <v/>
      </c>
    </row>
    <row r="37" customFormat="false" ht="15" hidden="false" customHeight="false" outlineLevel="0" collapsed="false">
      <c r="A37" s="27" t="str">
        <f aca="false">IFERROR(IF(INDEX(Leads!$A$5:$A$504,33)="","",INDEX(Leads!$A$5:$A$504,33)),"")</f>
        <v/>
      </c>
      <c r="B37" s="27" t="str">
        <f aca="false">IF($A37="","",INDEX(Leads!$C$5:$C$504,33))</f>
        <v/>
      </c>
      <c r="C37" s="27" t="str">
        <f aca="false">IF($A37="","",INDEX(Leads!$B$5:$B$504,33))</f>
        <v/>
      </c>
      <c r="D37" s="27" t="str">
        <f aca="false">IF($A37="","",INDEX(Leads!$J$5:$J$504,33))</f>
        <v/>
      </c>
      <c r="E37" s="27" t="str">
        <f aca="false">IF($A37="","",INDEX(Leads!$L$5:$L$504,33))</f>
        <v/>
      </c>
      <c r="F37" s="27" t="str">
        <f aca="false">IF($A37="","",COUNTIFS(Voortgang!$B$5:$B$504,$A37))</f>
        <v/>
      </c>
      <c r="G37" s="27" t="str">
        <f aca="false">IF($A37="","",COUNTIFS(Voortgang!$B$5:$B$504,$A37,Voortgang!$G$5:$G$504,"Gereed"))</f>
        <v/>
      </c>
      <c r="H37" s="27" t="str">
        <f aca="false">IF($A37="","",COUNTIFS(Voortgang!$B$5:$B$504,$A37,Voortgang!$G$5:$G$504,"Loopt"))</f>
        <v/>
      </c>
      <c r="I37" s="28" t="str">
        <f aca="false">IF($A37="","",COUNTIFS(Voortgang!$B$5:$B$504,$A37,Voortgang!$G$5:$G$504,"Geblokkeerd"))</f>
        <v/>
      </c>
      <c r="J37" s="29" t="str">
        <f aca="false">IF($A37="","",IFERROR($G37/($F37-COUNTIFS(Voortgang!$B$5:$B$504,$A37,Voortgang!$G$5:$G$504,"Niet van toepassing")),""))</f>
        <v/>
      </c>
      <c r="K37" s="27" t="str">
        <f aca="false">IF($A37="","",IFERROR(IF(_xlfn.MINIFS(Voortgang!$L$5:$L$504,Voortgang!$B$5:$B$504,$A37)=9999,"Alle stappen afgerond",INDEX(Voortgang!$E$5:$E$504,MATCH($A37&amp;"|"&amp;TEXT(_xlfn.MINIFS(Voortgang!$L$5:$L$504,Voortgang!$B$5:$B$504,$A37),"00"),Voortgang!$M$5:$M$504,0))),""))</f>
        <v/>
      </c>
      <c r="L37" s="27" t="str">
        <f aca="false">IF($A37="","",COUNTIFS(Overeenkomsten!$B$5:$B$504,$A37,Overeenkomsten!$E$5:$E$504,"Getekend"))</f>
        <v/>
      </c>
      <c r="M37" s="27" t="str">
        <f aca="false">IF($A37="","",COUNTIFS(Overeenkomsten!$B$5:$B$504,$A37)-$L37)</f>
        <v/>
      </c>
      <c r="N37" s="27" t="str">
        <f aca="false">IF($A37="","",COUNTIFS(Bronnen!$B$5:$B$504,$A37,Bronnen!$H$5:$H$504,"Ontvangen")+COUNTIFS(Bronnen!$B$5:$B$504,$A37,Bronnen!$H$5:$H$504,"In analyse")+COUNTIFS(Bronnen!$B$5:$B$504,$A37,Bronnen!$H$5:$H$504,"Verwerkt"))</f>
        <v/>
      </c>
      <c r="O37" s="27" t="str">
        <f aca="false">IF($A37="","",COUNTIFS(Bronnen!$B$5:$B$504,$A37,Bronnen!$H$5:$H$504,"Ontvangen")+COUNTIFS(Bronnen!$B$5:$B$504,$A37,Bronnen!$H$5:$H$504,"In analyse"))</f>
        <v/>
      </c>
      <c r="P37" s="30" t="str">
        <f aca="false">IF($A37="","",INDEX(Leads!$Q$5:$Q$504,33))</f>
        <v/>
      </c>
    </row>
    <row r="38" customFormat="false" ht="15" hidden="false" customHeight="false" outlineLevel="0" collapsed="false">
      <c r="A38" s="27" t="str">
        <f aca="false">IFERROR(IF(INDEX(Leads!$A$5:$A$504,34)="","",INDEX(Leads!$A$5:$A$504,34)),"")</f>
        <v/>
      </c>
      <c r="B38" s="27" t="str">
        <f aca="false">IF($A38="","",INDEX(Leads!$C$5:$C$504,34))</f>
        <v/>
      </c>
      <c r="C38" s="27" t="str">
        <f aca="false">IF($A38="","",INDEX(Leads!$B$5:$B$504,34))</f>
        <v/>
      </c>
      <c r="D38" s="27" t="str">
        <f aca="false">IF($A38="","",INDEX(Leads!$J$5:$J$504,34))</f>
        <v/>
      </c>
      <c r="E38" s="27" t="str">
        <f aca="false">IF($A38="","",INDEX(Leads!$L$5:$L$504,34))</f>
        <v/>
      </c>
      <c r="F38" s="27" t="str">
        <f aca="false">IF($A38="","",COUNTIFS(Voortgang!$B$5:$B$504,$A38))</f>
        <v/>
      </c>
      <c r="G38" s="27" t="str">
        <f aca="false">IF($A38="","",COUNTIFS(Voortgang!$B$5:$B$504,$A38,Voortgang!$G$5:$G$504,"Gereed"))</f>
        <v/>
      </c>
      <c r="H38" s="27" t="str">
        <f aca="false">IF($A38="","",COUNTIFS(Voortgang!$B$5:$B$504,$A38,Voortgang!$G$5:$G$504,"Loopt"))</f>
        <v/>
      </c>
      <c r="I38" s="28" t="str">
        <f aca="false">IF($A38="","",COUNTIFS(Voortgang!$B$5:$B$504,$A38,Voortgang!$G$5:$G$504,"Geblokkeerd"))</f>
        <v/>
      </c>
      <c r="J38" s="29" t="str">
        <f aca="false">IF($A38="","",IFERROR($G38/($F38-COUNTIFS(Voortgang!$B$5:$B$504,$A38,Voortgang!$G$5:$G$504,"Niet van toepassing")),""))</f>
        <v/>
      </c>
      <c r="K38" s="27" t="str">
        <f aca="false">IF($A38="","",IFERROR(IF(_xlfn.MINIFS(Voortgang!$L$5:$L$504,Voortgang!$B$5:$B$504,$A38)=9999,"Alle stappen afgerond",INDEX(Voortgang!$E$5:$E$504,MATCH($A38&amp;"|"&amp;TEXT(_xlfn.MINIFS(Voortgang!$L$5:$L$504,Voortgang!$B$5:$B$504,$A38),"00"),Voortgang!$M$5:$M$504,0))),""))</f>
        <v/>
      </c>
      <c r="L38" s="27" t="str">
        <f aca="false">IF($A38="","",COUNTIFS(Overeenkomsten!$B$5:$B$504,$A38,Overeenkomsten!$E$5:$E$504,"Getekend"))</f>
        <v/>
      </c>
      <c r="M38" s="27" t="str">
        <f aca="false">IF($A38="","",COUNTIFS(Overeenkomsten!$B$5:$B$504,$A38)-$L38)</f>
        <v/>
      </c>
      <c r="N38" s="27" t="str">
        <f aca="false">IF($A38="","",COUNTIFS(Bronnen!$B$5:$B$504,$A38,Bronnen!$H$5:$H$504,"Ontvangen")+COUNTIFS(Bronnen!$B$5:$B$504,$A38,Bronnen!$H$5:$H$504,"In analyse")+COUNTIFS(Bronnen!$B$5:$B$504,$A38,Bronnen!$H$5:$H$504,"Verwerkt"))</f>
        <v/>
      </c>
      <c r="O38" s="27" t="str">
        <f aca="false">IF($A38="","",COUNTIFS(Bronnen!$B$5:$B$504,$A38,Bronnen!$H$5:$H$504,"Ontvangen")+COUNTIFS(Bronnen!$B$5:$B$504,$A38,Bronnen!$H$5:$H$504,"In analyse"))</f>
        <v/>
      </c>
      <c r="P38" s="30" t="str">
        <f aca="false">IF($A38="","",INDEX(Leads!$Q$5:$Q$504,34))</f>
        <v/>
      </c>
    </row>
    <row r="39" customFormat="false" ht="15" hidden="false" customHeight="false" outlineLevel="0" collapsed="false">
      <c r="A39" s="27" t="str">
        <f aca="false">IFERROR(IF(INDEX(Leads!$A$5:$A$504,35)="","",INDEX(Leads!$A$5:$A$504,35)),"")</f>
        <v/>
      </c>
      <c r="B39" s="27" t="str">
        <f aca="false">IF($A39="","",INDEX(Leads!$C$5:$C$504,35))</f>
        <v/>
      </c>
      <c r="C39" s="27" t="str">
        <f aca="false">IF($A39="","",INDEX(Leads!$B$5:$B$504,35))</f>
        <v/>
      </c>
      <c r="D39" s="27" t="str">
        <f aca="false">IF($A39="","",INDEX(Leads!$J$5:$J$504,35))</f>
        <v/>
      </c>
      <c r="E39" s="27" t="str">
        <f aca="false">IF($A39="","",INDEX(Leads!$L$5:$L$504,35))</f>
        <v/>
      </c>
      <c r="F39" s="27" t="str">
        <f aca="false">IF($A39="","",COUNTIFS(Voortgang!$B$5:$B$504,$A39))</f>
        <v/>
      </c>
      <c r="G39" s="27" t="str">
        <f aca="false">IF($A39="","",COUNTIFS(Voortgang!$B$5:$B$504,$A39,Voortgang!$G$5:$G$504,"Gereed"))</f>
        <v/>
      </c>
      <c r="H39" s="27" t="str">
        <f aca="false">IF($A39="","",COUNTIFS(Voortgang!$B$5:$B$504,$A39,Voortgang!$G$5:$G$504,"Loopt"))</f>
        <v/>
      </c>
      <c r="I39" s="28" t="str">
        <f aca="false">IF($A39="","",COUNTIFS(Voortgang!$B$5:$B$504,$A39,Voortgang!$G$5:$G$504,"Geblokkeerd"))</f>
        <v/>
      </c>
      <c r="J39" s="29" t="str">
        <f aca="false">IF($A39="","",IFERROR($G39/($F39-COUNTIFS(Voortgang!$B$5:$B$504,$A39,Voortgang!$G$5:$G$504,"Niet van toepassing")),""))</f>
        <v/>
      </c>
      <c r="K39" s="27" t="str">
        <f aca="false">IF($A39="","",IFERROR(IF(_xlfn.MINIFS(Voortgang!$L$5:$L$504,Voortgang!$B$5:$B$504,$A39)=9999,"Alle stappen afgerond",INDEX(Voortgang!$E$5:$E$504,MATCH($A39&amp;"|"&amp;TEXT(_xlfn.MINIFS(Voortgang!$L$5:$L$504,Voortgang!$B$5:$B$504,$A39),"00"),Voortgang!$M$5:$M$504,0))),""))</f>
        <v/>
      </c>
      <c r="L39" s="27" t="str">
        <f aca="false">IF($A39="","",COUNTIFS(Overeenkomsten!$B$5:$B$504,$A39,Overeenkomsten!$E$5:$E$504,"Getekend"))</f>
        <v/>
      </c>
      <c r="M39" s="27" t="str">
        <f aca="false">IF($A39="","",COUNTIFS(Overeenkomsten!$B$5:$B$504,$A39)-$L39)</f>
        <v/>
      </c>
      <c r="N39" s="27" t="str">
        <f aca="false">IF($A39="","",COUNTIFS(Bronnen!$B$5:$B$504,$A39,Bronnen!$H$5:$H$504,"Ontvangen")+COUNTIFS(Bronnen!$B$5:$B$504,$A39,Bronnen!$H$5:$H$504,"In analyse")+COUNTIFS(Bronnen!$B$5:$B$504,$A39,Bronnen!$H$5:$H$504,"Verwerkt"))</f>
        <v/>
      </c>
      <c r="O39" s="27" t="str">
        <f aca="false">IF($A39="","",COUNTIFS(Bronnen!$B$5:$B$504,$A39,Bronnen!$H$5:$H$504,"Ontvangen")+COUNTIFS(Bronnen!$B$5:$B$504,$A39,Bronnen!$H$5:$H$504,"In analyse"))</f>
        <v/>
      </c>
      <c r="P39" s="30" t="str">
        <f aca="false">IF($A39="","",INDEX(Leads!$Q$5:$Q$504,35))</f>
        <v/>
      </c>
    </row>
    <row r="40" customFormat="false" ht="15" hidden="false" customHeight="false" outlineLevel="0" collapsed="false">
      <c r="A40" s="27" t="str">
        <f aca="false">IFERROR(IF(INDEX(Leads!$A$5:$A$504,36)="","",INDEX(Leads!$A$5:$A$504,36)),"")</f>
        <v/>
      </c>
      <c r="B40" s="27" t="str">
        <f aca="false">IF($A40="","",INDEX(Leads!$C$5:$C$504,36))</f>
        <v/>
      </c>
      <c r="C40" s="27" t="str">
        <f aca="false">IF($A40="","",INDEX(Leads!$B$5:$B$504,36))</f>
        <v/>
      </c>
      <c r="D40" s="27" t="str">
        <f aca="false">IF($A40="","",INDEX(Leads!$J$5:$J$504,36))</f>
        <v/>
      </c>
      <c r="E40" s="27" t="str">
        <f aca="false">IF($A40="","",INDEX(Leads!$L$5:$L$504,36))</f>
        <v/>
      </c>
      <c r="F40" s="27" t="str">
        <f aca="false">IF($A40="","",COUNTIFS(Voortgang!$B$5:$B$504,$A40))</f>
        <v/>
      </c>
      <c r="G40" s="27" t="str">
        <f aca="false">IF($A40="","",COUNTIFS(Voortgang!$B$5:$B$504,$A40,Voortgang!$G$5:$G$504,"Gereed"))</f>
        <v/>
      </c>
      <c r="H40" s="27" t="str">
        <f aca="false">IF($A40="","",COUNTIFS(Voortgang!$B$5:$B$504,$A40,Voortgang!$G$5:$G$504,"Loopt"))</f>
        <v/>
      </c>
      <c r="I40" s="28" t="str">
        <f aca="false">IF($A40="","",COUNTIFS(Voortgang!$B$5:$B$504,$A40,Voortgang!$G$5:$G$504,"Geblokkeerd"))</f>
        <v/>
      </c>
      <c r="J40" s="29" t="str">
        <f aca="false">IF($A40="","",IFERROR($G40/($F40-COUNTIFS(Voortgang!$B$5:$B$504,$A40,Voortgang!$G$5:$G$504,"Niet van toepassing")),""))</f>
        <v/>
      </c>
      <c r="K40" s="27" t="str">
        <f aca="false">IF($A40="","",IFERROR(IF(_xlfn.MINIFS(Voortgang!$L$5:$L$504,Voortgang!$B$5:$B$504,$A40)=9999,"Alle stappen afgerond",INDEX(Voortgang!$E$5:$E$504,MATCH($A40&amp;"|"&amp;TEXT(_xlfn.MINIFS(Voortgang!$L$5:$L$504,Voortgang!$B$5:$B$504,$A40),"00"),Voortgang!$M$5:$M$504,0))),""))</f>
        <v/>
      </c>
      <c r="L40" s="27" t="str">
        <f aca="false">IF($A40="","",COUNTIFS(Overeenkomsten!$B$5:$B$504,$A40,Overeenkomsten!$E$5:$E$504,"Getekend"))</f>
        <v/>
      </c>
      <c r="M40" s="27" t="str">
        <f aca="false">IF($A40="","",COUNTIFS(Overeenkomsten!$B$5:$B$504,$A40)-$L40)</f>
        <v/>
      </c>
      <c r="N40" s="27" t="str">
        <f aca="false">IF($A40="","",COUNTIFS(Bronnen!$B$5:$B$504,$A40,Bronnen!$H$5:$H$504,"Ontvangen")+COUNTIFS(Bronnen!$B$5:$B$504,$A40,Bronnen!$H$5:$H$504,"In analyse")+COUNTIFS(Bronnen!$B$5:$B$504,$A40,Bronnen!$H$5:$H$504,"Verwerkt"))</f>
        <v/>
      </c>
      <c r="O40" s="27" t="str">
        <f aca="false">IF($A40="","",COUNTIFS(Bronnen!$B$5:$B$504,$A40,Bronnen!$H$5:$H$504,"Ontvangen")+COUNTIFS(Bronnen!$B$5:$B$504,$A40,Bronnen!$H$5:$H$504,"In analyse"))</f>
        <v/>
      </c>
      <c r="P40" s="30" t="str">
        <f aca="false">IF($A40="","",INDEX(Leads!$Q$5:$Q$504,36))</f>
        <v/>
      </c>
    </row>
    <row r="41" customFormat="false" ht="15" hidden="false" customHeight="false" outlineLevel="0" collapsed="false">
      <c r="A41" s="27" t="str">
        <f aca="false">IFERROR(IF(INDEX(Leads!$A$5:$A$504,37)="","",INDEX(Leads!$A$5:$A$504,37)),"")</f>
        <v/>
      </c>
      <c r="B41" s="27" t="str">
        <f aca="false">IF($A41="","",INDEX(Leads!$C$5:$C$504,37))</f>
        <v/>
      </c>
      <c r="C41" s="27" t="str">
        <f aca="false">IF($A41="","",INDEX(Leads!$B$5:$B$504,37))</f>
        <v/>
      </c>
      <c r="D41" s="27" t="str">
        <f aca="false">IF($A41="","",INDEX(Leads!$J$5:$J$504,37))</f>
        <v/>
      </c>
      <c r="E41" s="27" t="str">
        <f aca="false">IF($A41="","",INDEX(Leads!$L$5:$L$504,37))</f>
        <v/>
      </c>
      <c r="F41" s="27" t="str">
        <f aca="false">IF($A41="","",COUNTIFS(Voortgang!$B$5:$B$504,$A41))</f>
        <v/>
      </c>
      <c r="G41" s="27" t="str">
        <f aca="false">IF($A41="","",COUNTIFS(Voortgang!$B$5:$B$504,$A41,Voortgang!$G$5:$G$504,"Gereed"))</f>
        <v/>
      </c>
      <c r="H41" s="27" t="str">
        <f aca="false">IF($A41="","",COUNTIFS(Voortgang!$B$5:$B$504,$A41,Voortgang!$G$5:$G$504,"Loopt"))</f>
        <v/>
      </c>
      <c r="I41" s="28" t="str">
        <f aca="false">IF($A41="","",COUNTIFS(Voortgang!$B$5:$B$504,$A41,Voortgang!$G$5:$G$504,"Geblokkeerd"))</f>
        <v/>
      </c>
      <c r="J41" s="29" t="str">
        <f aca="false">IF($A41="","",IFERROR($G41/($F41-COUNTIFS(Voortgang!$B$5:$B$504,$A41,Voortgang!$G$5:$G$504,"Niet van toepassing")),""))</f>
        <v/>
      </c>
      <c r="K41" s="27" t="str">
        <f aca="false">IF($A41="","",IFERROR(IF(_xlfn.MINIFS(Voortgang!$L$5:$L$504,Voortgang!$B$5:$B$504,$A41)=9999,"Alle stappen afgerond",INDEX(Voortgang!$E$5:$E$504,MATCH($A41&amp;"|"&amp;TEXT(_xlfn.MINIFS(Voortgang!$L$5:$L$504,Voortgang!$B$5:$B$504,$A41),"00"),Voortgang!$M$5:$M$504,0))),""))</f>
        <v/>
      </c>
      <c r="L41" s="27" t="str">
        <f aca="false">IF($A41="","",COUNTIFS(Overeenkomsten!$B$5:$B$504,$A41,Overeenkomsten!$E$5:$E$504,"Getekend"))</f>
        <v/>
      </c>
      <c r="M41" s="27" t="str">
        <f aca="false">IF($A41="","",COUNTIFS(Overeenkomsten!$B$5:$B$504,$A41)-$L41)</f>
        <v/>
      </c>
      <c r="N41" s="27" t="str">
        <f aca="false">IF($A41="","",COUNTIFS(Bronnen!$B$5:$B$504,$A41,Bronnen!$H$5:$H$504,"Ontvangen")+COUNTIFS(Bronnen!$B$5:$B$504,$A41,Bronnen!$H$5:$H$504,"In analyse")+COUNTIFS(Bronnen!$B$5:$B$504,$A41,Bronnen!$H$5:$H$504,"Verwerkt"))</f>
        <v/>
      </c>
      <c r="O41" s="27" t="str">
        <f aca="false">IF($A41="","",COUNTIFS(Bronnen!$B$5:$B$504,$A41,Bronnen!$H$5:$H$504,"Ontvangen")+COUNTIFS(Bronnen!$B$5:$B$504,$A41,Bronnen!$H$5:$H$504,"In analyse"))</f>
        <v/>
      </c>
      <c r="P41" s="30" t="str">
        <f aca="false">IF($A41="","",INDEX(Leads!$Q$5:$Q$504,37))</f>
        <v/>
      </c>
    </row>
    <row r="42" customFormat="false" ht="15" hidden="false" customHeight="false" outlineLevel="0" collapsed="false">
      <c r="A42" s="27" t="str">
        <f aca="false">IFERROR(IF(INDEX(Leads!$A$5:$A$504,38)="","",INDEX(Leads!$A$5:$A$504,38)),"")</f>
        <v/>
      </c>
      <c r="B42" s="27" t="str">
        <f aca="false">IF($A42="","",INDEX(Leads!$C$5:$C$504,38))</f>
        <v/>
      </c>
      <c r="C42" s="27" t="str">
        <f aca="false">IF($A42="","",INDEX(Leads!$B$5:$B$504,38))</f>
        <v/>
      </c>
      <c r="D42" s="27" t="str">
        <f aca="false">IF($A42="","",INDEX(Leads!$J$5:$J$504,38))</f>
        <v/>
      </c>
      <c r="E42" s="27" t="str">
        <f aca="false">IF($A42="","",INDEX(Leads!$L$5:$L$504,38))</f>
        <v/>
      </c>
      <c r="F42" s="27" t="str">
        <f aca="false">IF($A42="","",COUNTIFS(Voortgang!$B$5:$B$504,$A42))</f>
        <v/>
      </c>
      <c r="G42" s="27" t="str">
        <f aca="false">IF($A42="","",COUNTIFS(Voortgang!$B$5:$B$504,$A42,Voortgang!$G$5:$G$504,"Gereed"))</f>
        <v/>
      </c>
      <c r="H42" s="27" t="str">
        <f aca="false">IF($A42="","",COUNTIFS(Voortgang!$B$5:$B$504,$A42,Voortgang!$G$5:$G$504,"Loopt"))</f>
        <v/>
      </c>
      <c r="I42" s="28" t="str">
        <f aca="false">IF($A42="","",COUNTIFS(Voortgang!$B$5:$B$504,$A42,Voortgang!$G$5:$G$504,"Geblokkeerd"))</f>
        <v/>
      </c>
      <c r="J42" s="29" t="str">
        <f aca="false">IF($A42="","",IFERROR($G42/($F42-COUNTIFS(Voortgang!$B$5:$B$504,$A42,Voortgang!$G$5:$G$504,"Niet van toepassing")),""))</f>
        <v/>
      </c>
      <c r="K42" s="27" t="str">
        <f aca="false">IF($A42="","",IFERROR(IF(_xlfn.MINIFS(Voortgang!$L$5:$L$504,Voortgang!$B$5:$B$504,$A42)=9999,"Alle stappen afgerond",INDEX(Voortgang!$E$5:$E$504,MATCH($A42&amp;"|"&amp;TEXT(_xlfn.MINIFS(Voortgang!$L$5:$L$504,Voortgang!$B$5:$B$504,$A42),"00"),Voortgang!$M$5:$M$504,0))),""))</f>
        <v/>
      </c>
      <c r="L42" s="27" t="str">
        <f aca="false">IF($A42="","",COUNTIFS(Overeenkomsten!$B$5:$B$504,$A42,Overeenkomsten!$E$5:$E$504,"Getekend"))</f>
        <v/>
      </c>
      <c r="M42" s="27" t="str">
        <f aca="false">IF($A42="","",COUNTIFS(Overeenkomsten!$B$5:$B$504,$A42)-$L42)</f>
        <v/>
      </c>
      <c r="N42" s="27" t="str">
        <f aca="false">IF($A42="","",COUNTIFS(Bronnen!$B$5:$B$504,$A42,Bronnen!$H$5:$H$504,"Ontvangen")+COUNTIFS(Bronnen!$B$5:$B$504,$A42,Bronnen!$H$5:$H$504,"In analyse")+COUNTIFS(Bronnen!$B$5:$B$504,$A42,Bronnen!$H$5:$H$504,"Verwerkt"))</f>
        <v/>
      </c>
      <c r="O42" s="27" t="str">
        <f aca="false">IF($A42="","",COUNTIFS(Bronnen!$B$5:$B$504,$A42,Bronnen!$H$5:$H$504,"Ontvangen")+COUNTIFS(Bronnen!$B$5:$B$504,$A42,Bronnen!$H$5:$H$504,"In analyse"))</f>
        <v/>
      </c>
      <c r="P42" s="30" t="str">
        <f aca="false">IF($A42="","",INDEX(Leads!$Q$5:$Q$504,38))</f>
        <v/>
      </c>
    </row>
    <row r="43" customFormat="false" ht="15" hidden="false" customHeight="false" outlineLevel="0" collapsed="false">
      <c r="A43" s="27" t="str">
        <f aca="false">IFERROR(IF(INDEX(Leads!$A$5:$A$504,39)="","",INDEX(Leads!$A$5:$A$504,39)),"")</f>
        <v/>
      </c>
      <c r="B43" s="27" t="str">
        <f aca="false">IF($A43="","",INDEX(Leads!$C$5:$C$504,39))</f>
        <v/>
      </c>
      <c r="C43" s="27" t="str">
        <f aca="false">IF($A43="","",INDEX(Leads!$B$5:$B$504,39))</f>
        <v/>
      </c>
      <c r="D43" s="27" t="str">
        <f aca="false">IF($A43="","",INDEX(Leads!$J$5:$J$504,39))</f>
        <v/>
      </c>
      <c r="E43" s="27" t="str">
        <f aca="false">IF($A43="","",INDEX(Leads!$L$5:$L$504,39))</f>
        <v/>
      </c>
      <c r="F43" s="27" t="str">
        <f aca="false">IF($A43="","",COUNTIFS(Voortgang!$B$5:$B$504,$A43))</f>
        <v/>
      </c>
      <c r="G43" s="27" t="str">
        <f aca="false">IF($A43="","",COUNTIFS(Voortgang!$B$5:$B$504,$A43,Voortgang!$G$5:$G$504,"Gereed"))</f>
        <v/>
      </c>
      <c r="H43" s="27" t="str">
        <f aca="false">IF($A43="","",COUNTIFS(Voortgang!$B$5:$B$504,$A43,Voortgang!$G$5:$G$504,"Loopt"))</f>
        <v/>
      </c>
      <c r="I43" s="28" t="str">
        <f aca="false">IF($A43="","",COUNTIFS(Voortgang!$B$5:$B$504,$A43,Voortgang!$G$5:$G$504,"Geblokkeerd"))</f>
        <v/>
      </c>
      <c r="J43" s="29" t="str">
        <f aca="false">IF($A43="","",IFERROR($G43/($F43-COUNTIFS(Voortgang!$B$5:$B$504,$A43,Voortgang!$G$5:$G$504,"Niet van toepassing")),""))</f>
        <v/>
      </c>
      <c r="K43" s="27" t="str">
        <f aca="false">IF($A43="","",IFERROR(IF(_xlfn.MINIFS(Voortgang!$L$5:$L$504,Voortgang!$B$5:$B$504,$A43)=9999,"Alle stappen afgerond",INDEX(Voortgang!$E$5:$E$504,MATCH($A43&amp;"|"&amp;TEXT(_xlfn.MINIFS(Voortgang!$L$5:$L$504,Voortgang!$B$5:$B$504,$A43),"00"),Voortgang!$M$5:$M$504,0))),""))</f>
        <v/>
      </c>
      <c r="L43" s="27" t="str">
        <f aca="false">IF($A43="","",COUNTIFS(Overeenkomsten!$B$5:$B$504,$A43,Overeenkomsten!$E$5:$E$504,"Getekend"))</f>
        <v/>
      </c>
      <c r="M43" s="27" t="str">
        <f aca="false">IF($A43="","",COUNTIFS(Overeenkomsten!$B$5:$B$504,$A43)-$L43)</f>
        <v/>
      </c>
      <c r="N43" s="27" t="str">
        <f aca="false">IF($A43="","",COUNTIFS(Bronnen!$B$5:$B$504,$A43,Bronnen!$H$5:$H$504,"Ontvangen")+COUNTIFS(Bronnen!$B$5:$B$504,$A43,Bronnen!$H$5:$H$504,"In analyse")+COUNTIFS(Bronnen!$B$5:$B$504,$A43,Bronnen!$H$5:$H$504,"Verwerkt"))</f>
        <v/>
      </c>
      <c r="O43" s="27" t="str">
        <f aca="false">IF($A43="","",COUNTIFS(Bronnen!$B$5:$B$504,$A43,Bronnen!$H$5:$H$504,"Ontvangen")+COUNTIFS(Bronnen!$B$5:$B$504,$A43,Bronnen!$H$5:$H$504,"In analyse"))</f>
        <v/>
      </c>
      <c r="P43" s="30" t="str">
        <f aca="false">IF($A43="","",INDEX(Leads!$Q$5:$Q$504,39))</f>
        <v/>
      </c>
    </row>
    <row r="44" customFormat="false" ht="15" hidden="false" customHeight="false" outlineLevel="0" collapsed="false">
      <c r="A44" s="27" t="str">
        <f aca="false">IFERROR(IF(INDEX(Leads!$A$5:$A$504,40)="","",INDEX(Leads!$A$5:$A$504,40)),"")</f>
        <v/>
      </c>
      <c r="B44" s="27" t="str">
        <f aca="false">IF($A44="","",INDEX(Leads!$C$5:$C$504,40))</f>
        <v/>
      </c>
      <c r="C44" s="27" t="str">
        <f aca="false">IF($A44="","",INDEX(Leads!$B$5:$B$504,40))</f>
        <v/>
      </c>
      <c r="D44" s="27" t="str">
        <f aca="false">IF($A44="","",INDEX(Leads!$J$5:$J$504,40))</f>
        <v/>
      </c>
      <c r="E44" s="27" t="str">
        <f aca="false">IF($A44="","",INDEX(Leads!$L$5:$L$504,40))</f>
        <v/>
      </c>
      <c r="F44" s="27" t="str">
        <f aca="false">IF($A44="","",COUNTIFS(Voortgang!$B$5:$B$504,$A44))</f>
        <v/>
      </c>
      <c r="G44" s="27" t="str">
        <f aca="false">IF($A44="","",COUNTIFS(Voortgang!$B$5:$B$504,$A44,Voortgang!$G$5:$G$504,"Gereed"))</f>
        <v/>
      </c>
      <c r="H44" s="27" t="str">
        <f aca="false">IF($A44="","",COUNTIFS(Voortgang!$B$5:$B$504,$A44,Voortgang!$G$5:$G$504,"Loopt"))</f>
        <v/>
      </c>
      <c r="I44" s="28" t="str">
        <f aca="false">IF($A44="","",COUNTIFS(Voortgang!$B$5:$B$504,$A44,Voortgang!$G$5:$G$504,"Geblokkeerd"))</f>
        <v/>
      </c>
      <c r="J44" s="29" t="str">
        <f aca="false">IF($A44="","",IFERROR($G44/($F44-COUNTIFS(Voortgang!$B$5:$B$504,$A44,Voortgang!$G$5:$G$504,"Niet van toepassing")),""))</f>
        <v/>
      </c>
      <c r="K44" s="27" t="str">
        <f aca="false">IF($A44="","",IFERROR(IF(_xlfn.MINIFS(Voortgang!$L$5:$L$504,Voortgang!$B$5:$B$504,$A44)=9999,"Alle stappen afgerond",INDEX(Voortgang!$E$5:$E$504,MATCH($A44&amp;"|"&amp;TEXT(_xlfn.MINIFS(Voortgang!$L$5:$L$504,Voortgang!$B$5:$B$504,$A44),"00"),Voortgang!$M$5:$M$504,0))),""))</f>
        <v/>
      </c>
      <c r="L44" s="27" t="str">
        <f aca="false">IF($A44="","",COUNTIFS(Overeenkomsten!$B$5:$B$504,$A44,Overeenkomsten!$E$5:$E$504,"Getekend"))</f>
        <v/>
      </c>
      <c r="M44" s="27" t="str">
        <f aca="false">IF($A44="","",COUNTIFS(Overeenkomsten!$B$5:$B$504,$A44)-$L44)</f>
        <v/>
      </c>
      <c r="N44" s="27" t="str">
        <f aca="false">IF($A44="","",COUNTIFS(Bronnen!$B$5:$B$504,$A44,Bronnen!$H$5:$H$504,"Ontvangen")+COUNTIFS(Bronnen!$B$5:$B$504,$A44,Bronnen!$H$5:$H$504,"In analyse")+COUNTIFS(Bronnen!$B$5:$B$504,$A44,Bronnen!$H$5:$H$504,"Verwerkt"))</f>
        <v/>
      </c>
      <c r="O44" s="27" t="str">
        <f aca="false">IF($A44="","",COUNTIFS(Bronnen!$B$5:$B$504,$A44,Bronnen!$H$5:$H$504,"Ontvangen")+COUNTIFS(Bronnen!$B$5:$B$504,$A44,Bronnen!$H$5:$H$504,"In analyse"))</f>
        <v/>
      </c>
      <c r="P44" s="30" t="str">
        <f aca="false">IF($A44="","",INDEX(Leads!$Q$5:$Q$504,40))</f>
        <v/>
      </c>
    </row>
  </sheetData>
  <conditionalFormatting sqref="J5:J44">
    <cfRule type="cellIs" priority="2" operator="greaterThanOrEqual" aboveAverage="0" equalAverage="0" bottom="0" percent="0" rank="0" text="" dxfId="5">
      <formula>0.75</formula>
    </cfRule>
  </conditionalFormatting>
  <conditionalFormatting sqref="I5:I44">
    <cfRule type="cellIs" priority="3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22" min="3" style="0" width="4.5"/>
  </cols>
  <sheetData>
    <row r="1" customFormat="false" ht="22.05" hidden="false" customHeight="false" outlineLevel="0" collapsed="false">
      <c r="A1" s="6" t="s">
        <v>488</v>
      </c>
    </row>
    <row r="2" customFormat="false" ht="15" hidden="false" customHeight="false" outlineLevel="0" collapsed="false">
      <c r="A2" s="7" t="s">
        <v>489</v>
      </c>
    </row>
    <row r="4" customFormat="false" ht="199.5" hidden="false" customHeight="true" outlineLevel="0" collapsed="false">
      <c r="A4" s="31" t="s">
        <v>192</v>
      </c>
      <c r="B4" s="31" t="s">
        <v>194</v>
      </c>
      <c r="C4" s="32" t="s">
        <v>490</v>
      </c>
      <c r="D4" s="32" t="s">
        <v>491</v>
      </c>
      <c r="E4" s="32" t="s">
        <v>492</v>
      </c>
      <c r="F4" s="32" t="s">
        <v>493</v>
      </c>
      <c r="G4" s="32" t="s">
        <v>494</v>
      </c>
      <c r="H4" s="32" t="s">
        <v>495</v>
      </c>
      <c r="I4" s="32" t="s">
        <v>496</v>
      </c>
      <c r="J4" s="32" t="s">
        <v>497</v>
      </c>
      <c r="K4" s="32" t="s">
        <v>498</v>
      </c>
      <c r="L4" s="32" t="s">
        <v>499</v>
      </c>
      <c r="M4" s="32" t="s">
        <v>500</v>
      </c>
      <c r="N4" s="32" t="s">
        <v>501</v>
      </c>
      <c r="O4" s="32" t="s">
        <v>502</v>
      </c>
      <c r="P4" s="32" t="s">
        <v>503</v>
      </c>
      <c r="Q4" s="32" t="s">
        <v>504</v>
      </c>
      <c r="R4" s="32" t="s">
        <v>505</v>
      </c>
      <c r="S4" s="32" t="s">
        <v>506</v>
      </c>
      <c r="T4" s="32" t="s">
        <v>507</v>
      </c>
      <c r="U4" s="32" t="s">
        <v>508</v>
      </c>
      <c r="V4" s="32" t="s">
        <v>509</v>
      </c>
    </row>
    <row r="5" customFormat="false" ht="15" hidden="false" customHeight="false" outlineLevel="0" collapsed="false">
      <c r="A5" s="27" t="str">
        <f aca="false">IFERROR(IF(INDEX(Overzicht!$C$5:$C$44,1)="","",IF(INDEX(Overzicht!$C$5:$C$44,1)="Vastgoedontwikkelaar",INDEX(Overzicht!$A$5:$A$44,1),"")),"")</f>
        <v>LEAD-001</v>
      </c>
      <c r="B5" s="27" t="str">
        <f aca="false">IF($A5="","",INDEX(Overzicht!$B$5:$B$44,1))</f>
        <v>Ventura City</v>
      </c>
      <c r="C5" s="33" t="str">
        <f aca="false">IF($A5="","",IFERROR(_xlfn.SWITCH(INDEX(Voortgang!$G$5:$G$504,MATCH($A5&amp;"|"&amp;TEXT(1,"00"),Voortgang!$M$5:$M$504,0)),"Gereed","G","Loopt","L","Geblokkeerd","B","Niet van toepassing","nvt","Niet gestart","-","-"),""))</f>
        <v>G</v>
      </c>
      <c r="D5" s="33" t="str">
        <f aca="false">IF($A5="","",IFERROR(_xlfn.SWITCH(INDEX(Voortgang!$G$5:$G$504,MATCH($A5&amp;"|"&amp;TEXT(2,"00"),Voortgang!$M$5:$M$504,0)),"Gereed","G","Loopt","L","Geblokkeerd","B","Niet van toepassing","nvt","Niet gestart","-","-"),""))</f>
        <v>G</v>
      </c>
      <c r="E5" s="33" t="str">
        <f aca="false">IF($A5="","",IFERROR(_xlfn.SWITCH(INDEX(Voortgang!$G$5:$G$504,MATCH($A5&amp;"|"&amp;TEXT(3,"00"),Voortgang!$M$5:$M$504,0)),"Gereed","G","Loopt","L","Geblokkeerd","B","Niet van toepassing","nvt","Niet gestart","-","-"),""))</f>
        <v>L</v>
      </c>
      <c r="F5" s="33" t="str">
        <f aca="false">IF($A5="","",IFERROR(_xlfn.SWITCH(INDEX(Voortgang!$G$5:$G$504,MATCH($A5&amp;"|"&amp;TEXT(4,"00"),Voortgang!$M$5:$M$504,0)),"Gereed","G","Loopt","L","Geblokkeerd","B","Niet van toepassing","nvt","Niet gestart","-","-"),""))</f>
        <v>G</v>
      </c>
      <c r="G5" s="33" t="str">
        <f aca="false">IF($A5="","",IFERROR(_xlfn.SWITCH(INDEX(Voortgang!$G$5:$G$504,MATCH($A5&amp;"|"&amp;TEXT(5,"00"),Voortgang!$M$5:$M$504,0)),"Gereed","G","Loopt","L","Geblokkeerd","B","Niet van toepassing","nvt","Niet gestart","-","-"),""))</f>
        <v>L</v>
      </c>
      <c r="H5" s="33" t="str">
        <f aca="false">IF($A5="","",IFERROR(_xlfn.SWITCH(INDEX(Voortgang!$G$5:$G$504,MATCH($A5&amp;"|"&amp;TEXT(6,"00"),Voortgang!$M$5:$M$504,0)),"Gereed","G","Loopt","L","Geblokkeerd","B","Niet van toepassing","nvt","Niet gestart","-","-"),""))</f>
        <v>-</v>
      </c>
      <c r="I5" s="33" t="str">
        <f aca="false">IF($A5="","",IFERROR(_xlfn.SWITCH(INDEX(Voortgang!$G$5:$G$504,MATCH($A5&amp;"|"&amp;TEXT(7,"00"),Voortgang!$M$5:$M$504,0)),"Gereed","G","Loopt","L","Geblokkeerd","B","Niet van toepassing","nvt","Niet gestart","-","-"),""))</f>
        <v>G</v>
      </c>
      <c r="J5" s="33" t="str">
        <f aca="false">IF($A5="","",IFERROR(_xlfn.SWITCH(INDEX(Voortgang!$G$5:$G$504,MATCH($A5&amp;"|"&amp;TEXT(8,"00"),Voortgang!$M$5:$M$504,0)),"Gereed","G","Loopt","L","Geblokkeerd","B","Niet van toepassing","nvt","Niet gestart","-","-"),""))</f>
        <v>-</v>
      </c>
      <c r="K5" s="33" t="str">
        <f aca="false">IF($A5="","",IFERROR(_xlfn.SWITCH(INDEX(Voortgang!$G$5:$G$504,MATCH($A5&amp;"|"&amp;TEXT(9,"00"),Voortgang!$M$5:$M$504,0)),"Gereed","G","Loopt","L","Geblokkeerd","B","Niet van toepassing","nvt","Niet gestart","-","-"),""))</f>
        <v>G</v>
      </c>
      <c r="L5" s="33" t="str">
        <f aca="false">IF($A5="","",IFERROR(_xlfn.SWITCH(INDEX(Voortgang!$G$5:$G$504,MATCH($A5&amp;"|"&amp;TEXT(10,"00"),Voortgang!$M$5:$M$504,0)),"Gereed","G","Loopt","L","Geblokkeerd","B","Niet van toepassing","nvt","Niet gestart","-","-"),""))</f>
        <v>G</v>
      </c>
      <c r="M5" s="33" t="str">
        <f aca="false">IF($A5="","",IFERROR(_xlfn.SWITCH(INDEX(Voortgang!$G$5:$G$504,MATCH($A5&amp;"|"&amp;TEXT(11,"00"),Voortgang!$M$5:$M$504,0)),"Gereed","G","Loopt","L","Geblokkeerd","B","Niet van toepassing","nvt","Niet gestart","-","-"),""))</f>
        <v>-</v>
      </c>
      <c r="N5" s="33" t="str">
        <f aca="false">IF($A5="","",IFERROR(_xlfn.SWITCH(INDEX(Voortgang!$G$5:$G$504,MATCH($A5&amp;"|"&amp;TEXT(12,"00"),Voortgang!$M$5:$M$504,0)),"Gereed","G","Loopt","L","Geblokkeerd","B","Niet van toepassing","nvt","Niet gestart","-","-"),""))</f>
        <v>-</v>
      </c>
      <c r="O5" s="33" t="str">
        <f aca="false">IF($A5="","",IFERROR(_xlfn.SWITCH(INDEX(Voortgang!$G$5:$G$504,MATCH($A5&amp;"|"&amp;TEXT(13,"00"),Voortgang!$M$5:$M$504,0)),"Gereed","G","Loopt","L","Geblokkeerd","B","Niet van toepassing","nvt","Niet gestart","-","-"),""))</f>
        <v>-</v>
      </c>
      <c r="P5" s="33" t="str">
        <f aca="false">IF($A5="","",IFERROR(_xlfn.SWITCH(INDEX(Voortgang!$G$5:$G$504,MATCH($A5&amp;"|"&amp;TEXT(14,"00"),Voortgang!$M$5:$M$504,0)),"Gereed","G","Loopt","L","Geblokkeerd","B","Niet van toepassing","nvt","Niet gestart","-","-"),""))</f>
        <v>-</v>
      </c>
      <c r="Q5" s="33" t="str">
        <f aca="false">IF($A5="","",IFERROR(_xlfn.SWITCH(INDEX(Voortgang!$G$5:$G$504,MATCH($A5&amp;"|"&amp;TEXT(15,"00"),Voortgang!$M$5:$M$504,0)),"Gereed","G","Loopt","L","Geblokkeerd","B","Niet van toepassing","nvt","Niet gestart","-","-"),""))</f>
        <v>-</v>
      </c>
      <c r="R5" s="33" t="str">
        <f aca="false">IF($A5="","",IFERROR(_xlfn.SWITCH(INDEX(Voortgang!$G$5:$G$504,MATCH($A5&amp;"|"&amp;TEXT(16,"00"),Voortgang!$M$5:$M$504,0)),"Gereed","G","Loopt","L","Geblokkeerd","B","Niet van toepassing","nvt","Niet gestart","-","-"),""))</f>
        <v>-</v>
      </c>
      <c r="S5" s="33" t="str">
        <f aca="false">IF($A5="","",IFERROR(_xlfn.SWITCH(INDEX(Voortgang!$G$5:$G$504,MATCH($A5&amp;"|"&amp;TEXT(17,"00"),Voortgang!$M$5:$M$504,0)),"Gereed","G","Loopt","L","Geblokkeerd","B","Niet van toepassing","nvt","Niet gestart","-","-"),""))</f>
        <v>-</v>
      </c>
      <c r="T5" s="33" t="str">
        <f aca="false">IF($A5="","",IFERROR(_xlfn.SWITCH(INDEX(Voortgang!$G$5:$G$504,MATCH($A5&amp;"|"&amp;TEXT(18,"00"),Voortgang!$M$5:$M$504,0)),"Gereed","G","Loopt","L","Geblokkeerd","B","Niet van toepassing","nvt","Niet gestart","-","-"),""))</f>
        <v>-</v>
      </c>
      <c r="U5" s="33" t="str">
        <f aca="false">IF($A5="","",IFERROR(_xlfn.SWITCH(INDEX(Voortgang!$G$5:$G$504,MATCH($A5&amp;"|"&amp;TEXT(19,"00"),Voortgang!$M$5:$M$504,0)),"Gereed","G","Loopt","L","Geblokkeerd","B","Niet van toepassing","nvt","Niet gestart","-","-"),""))</f>
        <v>-</v>
      </c>
      <c r="V5" s="33" t="str">
        <f aca="false">IF($A5="","",IFERROR(_xlfn.SWITCH(INDEX(Voortgang!$G$5:$G$504,MATCH($A5&amp;"|"&amp;TEXT(20,"00"),Voortgang!$M$5:$M$504,0)),"Gereed","G","Loopt","L","Geblokkeerd","B","Niet van toepassing","nvt","Niet gestart","-","-"),""))</f>
        <v>-</v>
      </c>
    </row>
    <row r="6" customFormat="false" ht="15" hidden="false" customHeight="false" outlineLevel="0" collapsed="false">
      <c r="A6" s="27" t="str">
        <f aca="false">IFERROR(IF(INDEX(Overzicht!$C$5:$C$44,2)="","",IF(INDEX(Overzicht!$C$5:$C$44,2)="Vastgoedontwikkelaar",INDEX(Overzicht!$A$5:$A$44,2),"")),"")</f>
        <v/>
      </c>
      <c r="B6" s="27" t="str">
        <f aca="false">IF($A6="","",INDEX(Overzicht!$B$5:$B$44,2))</f>
        <v/>
      </c>
      <c r="C6" s="33" t="str">
        <f aca="false">IF($A6="","",IFERROR(_xlfn.SWITCH(INDEX(Voortgang!$G$5:$G$504,MATCH($A6&amp;"|"&amp;TEXT(1,"00"),Voortgang!$M$5:$M$504,0)),"Gereed","G","Loopt","L","Geblokkeerd","B","Niet van toepassing","nvt","Niet gestart","-","-"),""))</f>
        <v/>
      </c>
      <c r="D6" s="33" t="str">
        <f aca="false">IF($A6="","",IFERROR(_xlfn.SWITCH(INDEX(Voortgang!$G$5:$G$504,MATCH($A6&amp;"|"&amp;TEXT(2,"00"),Voortgang!$M$5:$M$504,0)),"Gereed","G","Loopt","L","Geblokkeerd","B","Niet van toepassing","nvt","Niet gestart","-","-"),""))</f>
        <v/>
      </c>
      <c r="E6" s="33" t="str">
        <f aca="false">IF($A6="","",IFERROR(_xlfn.SWITCH(INDEX(Voortgang!$G$5:$G$504,MATCH($A6&amp;"|"&amp;TEXT(3,"00"),Voortgang!$M$5:$M$504,0)),"Gereed","G","Loopt","L","Geblokkeerd","B","Niet van toepassing","nvt","Niet gestart","-","-"),""))</f>
        <v/>
      </c>
      <c r="F6" s="33" t="str">
        <f aca="false">IF($A6="","",IFERROR(_xlfn.SWITCH(INDEX(Voortgang!$G$5:$G$504,MATCH($A6&amp;"|"&amp;TEXT(4,"00"),Voortgang!$M$5:$M$504,0)),"Gereed","G","Loopt","L","Geblokkeerd","B","Niet van toepassing","nvt","Niet gestart","-","-"),""))</f>
        <v/>
      </c>
      <c r="G6" s="33" t="str">
        <f aca="false">IF($A6="","",IFERROR(_xlfn.SWITCH(INDEX(Voortgang!$G$5:$G$504,MATCH($A6&amp;"|"&amp;TEXT(5,"00"),Voortgang!$M$5:$M$504,0)),"Gereed","G","Loopt","L","Geblokkeerd","B","Niet van toepassing","nvt","Niet gestart","-","-"),""))</f>
        <v/>
      </c>
      <c r="H6" s="33" t="str">
        <f aca="false">IF($A6="","",IFERROR(_xlfn.SWITCH(INDEX(Voortgang!$G$5:$G$504,MATCH($A6&amp;"|"&amp;TEXT(6,"00"),Voortgang!$M$5:$M$504,0)),"Gereed","G","Loopt","L","Geblokkeerd","B","Niet van toepassing","nvt","Niet gestart","-","-"),""))</f>
        <v/>
      </c>
      <c r="I6" s="33" t="str">
        <f aca="false">IF($A6="","",IFERROR(_xlfn.SWITCH(INDEX(Voortgang!$G$5:$G$504,MATCH($A6&amp;"|"&amp;TEXT(7,"00"),Voortgang!$M$5:$M$504,0)),"Gereed","G","Loopt","L","Geblokkeerd","B","Niet van toepassing","nvt","Niet gestart","-","-"),""))</f>
        <v/>
      </c>
      <c r="J6" s="33" t="str">
        <f aca="false">IF($A6="","",IFERROR(_xlfn.SWITCH(INDEX(Voortgang!$G$5:$G$504,MATCH($A6&amp;"|"&amp;TEXT(8,"00"),Voortgang!$M$5:$M$504,0)),"Gereed","G","Loopt","L","Geblokkeerd","B","Niet van toepassing","nvt","Niet gestart","-","-"),""))</f>
        <v/>
      </c>
      <c r="K6" s="33" t="str">
        <f aca="false">IF($A6="","",IFERROR(_xlfn.SWITCH(INDEX(Voortgang!$G$5:$G$504,MATCH($A6&amp;"|"&amp;TEXT(9,"00"),Voortgang!$M$5:$M$504,0)),"Gereed","G","Loopt","L","Geblokkeerd","B","Niet van toepassing","nvt","Niet gestart","-","-"),""))</f>
        <v/>
      </c>
      <c r="L6" s="33" t="str">
        <f aca="false">IF($A6="","",IFERROR(_xlfn.SWITCH(INDEX(Voortgang!$G$5:$G$504,MATCH($A6&amp;"|"&amp;TEXT(10,"00"),Voortgang!$M$5:$M$504,0)),"Gereed","G","Loopt","L","Geblokkeerd","B","Niet van toepassing","nvt","Niet gestart","-","-"),""))</f>
        <v/>
      </c>
      <c r="M6" s="33" t="str">
        <f aca="false">IF($A6="","",IFERROR(_xlfn.SWITCH(INDEX(Voortgang!$G$5:$G$504,MATCH($A6&amp;"|"&amp;TEXT(11,"00"),Voortgang!$M$5:$M$504,0)),"Gereed","G","Loopt","L","Geblokkeerd","B","Niet van toepassing","nvt","Niet gestart","-","-"),""))</f>
        <v/>
      </c>
      <c r="N6" s="33" t="str">
        <f aca="false">IF($A6="","",IFERROR(_xlfn.SWITCH(INDEX(Voortgang!$G$5:$G$504,MATCH($A6&amp;"|"&amp;TEXT(12,"00"),Voortgang!$M$5:$M$504,0)),"Gereed","G","Loopt","L","Geblokkeerd","B","Niet van toepassing","nvt","Niet gestart","-","-"),""))</f>
        <v/>
      </c>
      <c r="O6" s="33" t="str">
        <f aca="false">IF($A6="","",IFERROR(_xlfn.SWITCH(INDEX(Voortgang!$G$5:$G$504,MATCH($A6&amp;"|"&amp;TEXT(13,"00"),Voortgang!$M$5:$M$504,0)),"Gereed","G","Loopt","L","Geblokkeerd","B","Niet van toepassing","nvt","Niet gestart","-","-"),""))</f>
        <v/>
      </c>
      <c r="P6" s="33" t="str">
        <f aca="false">IF($A6="","",IFERROR(_xlfn.SWITCH(INDEX(Voortgang!$G$5:$G$504,MATCH($A6&amp;"|"&amp;TEXT(14,"00"),Voortgang!$M$5:$M$504,0)),"Gereed","G","Loopt","L","Geblokkeerd","B","Niet van toepassing","nvt","Niet gestart","-","-"),""))</f>
        <v/>
      </c>
      <c r="Q6" s="33" t="str">
        <f aca="false">IF($A6="","",IFERROR(_xlfn.SWITCH(INDEX(Voortgang!$G$5:$G$504,MATCH($A6&amp;"|"&amp;TEXT(15,"00"),Voortgang!$M$5:$M$504,0)),"Gereed","G","Loopt","L","Geblokkeerd","B","Niet van toepassing","nvt","Niet gestart","-","-"),""))</f>
        <v/>
      </c>
      <c r="R6" s="33" t="str">
        <f aca="false">IF($A6="","",IFERROR(_xlfn.SWITCH(INDEX(Voortgang!$G$5:$G$504,MATCH($A6&amp;"|"&amp;TEXT(16,"00"),Voortgang!$M$5:$M$504,0)),"Gereed","G","Loopt","L","Geblokkeerd","B","Niet van toepassing","nvt","Niet gestart","-","-"),""))</f>
        <v/>
      </c>
      <c r="S6" s="33" t="str">
        <f aca="false">IF($A6="","",IFERROR(_xlfn.SWITCH(INDEX(Voortgang!$G$5:$G$504,MATCH($A6&amp;"|"&amp;TEXT(17,"00"),Voortgang!$M$5:$M$504,0)),"Gereed","G","Loopt","L","Geblokkeerd","B","Niet van toepassing","nvt","Niet gestart","-","-"),""))</f>
        <v/>
      </c>
      <c r="T6" s="33" t="str">
        <f aca="false">IF($A6="","",IFERROR(_xlfn.SWITCH(INDEX(Voortgang!$G$5:$G$504,MATCH($A6&amp;"|"&amp;TEXT(18,"00"),Voortgang!$M$5:$M$504,0)),"Gereed","G","Loopt","L","Geblokkeerd","B","Niet van toepassing","nvt","Niet gestart","-","-"),""))</f>
        <v/>
      </c>
      <c r="U6" s="33" t="str">
        <f aca="false">IF($A6="","",IFERROR(_xlfn.SWITCH(INDEX(Voortgang!$G$5:$G$504,MATCH($A6&amp;"|"&amp;TEXT(19,"00"),Voortgang!$M$5:$M$504,0)),"Gereed","G","Loopt","L","Geblokkeerd","B","Niet van toepassing","nvt","Niet gestart","-","-"),""))</f>
        <v/>
      </c>
      <c r="V6" s="33" t="str">
        <f aca="false">IF($A6="","",IFERROR(_xlfn.SWITCH(INDEX(Voortgang!$G$5:$G$504,MATCH($A6&amp;"|"&amp;TEXT(20,"00"),Voortgang!$M$5:$M$504,0)),"Gereed","G","Loopt","L","Geblokkeerd","B","Niet van toepassing","nvt","Niet gestart","-","-"),""))</f>
        <v/>
      </c>
    </row>
    <row r="7" customFormat="false" ht="15" hidden="false" customHeight="false" outlineLevel="0" collapsed="false">
      <c r="A7" s="27" t="str">
        <f aca="false">IFERROR(IF(INDEX(Overzicht!$C$5:$C$44,3)="","",IF(INDEX(Overzicht!$C$5:$C$44,3)="Vastgoedontwikkelaar",INDEX(Overzicht!$A$5:$A$44,3),"")),"")</f>
        <v/>
      </c>
      <c r="B7" s="27" t="str">
        <f aca="false">IF($A7="","",INDEX(Overzicht!$B$5:$B$44,3))</f>
        <v/>
      </c>
      <c r="C7" s="33" t="str">
        <f aca="false">IF($A7="","",IFERROR(_xlfn.SWITCH(INDEX(Voortgang!$G$5:$G$504,MATCH($A7&amp;"|"&amp;TEXT(1,"00"),Voortgang!$M$5:$M$504,0)),"Gereed","G","Loopt","L","Geblokkeerd","B","Niet van toepassing","nvt","Niet gestart","-","-"),""))</f>
        <v/>
      </c>
      <c r="D7" s="33" t="str">
        <f aca="false">IF($A7="","",IFERROR(_xlfn.SWITCH(INDEX(Voortgang!$G$5:$G$504,MATCH($A7&amp;"|"&amp;TEXT(2,"00"),Voortgang!$M$5:$M$504,0)),"Gereed","G","Loopt","L","Geblokkeerd","B","Niet van toepassing","nvt","Niet gestart","-","-"),""))</f>
        <v/>
      </c>
      <c r="E7" s="33" t="str">
        <f aca="false">IF($A7="","",IFERROR(_xlfn.SWITCH(INDEX(Voortgang!$G$5:$G$504,MATCH($A7&amp;"|"&amp;TEXT(3,"00"),Voortgang!$M$5:$M$504,0)),"Gereed","G","Loopt","L","Geblokkeerd","B","Niet van toepassing","nvt","Niet gestart","-","-"),""))</f>
        <v/>
      </c>
      <c r="F7" s="33" t="str">
        <f aca="false">IF($A7="","",IFERROR(_xlfn.SWITCH(INDEX(Voortgang!$G$5:$G$504,MATCH($A7&amp;"|"&amp;TEXT(4,"00"),Voortgang!$M$5:$M$504,0)),"Gereed","G","Loopt","L","Geblokkeerd","B","Niet van toepassing","nvt","Niet gestart","-","-"),""))</f>
        <v/>
      </c>
      <c r="G7" s="33" t="str">
        <f aca="false">IF($A7="","",IFERROR(_xlfn.SWITCH(INDEX(Voortgang!$G$5:$G$504,MATCH($A7&amp;"|"&amp;TEXT(5,"00"),Voortgang!$M$5:$M$504,0)),"Gereed","G","Loopt","L","Geblokkeerd","B","Niet van toepassing","nvt","Niet gestart","-","-"),""))</f>
        <v/>
      </c>
      <c r="H7" s="33" t="str">
        <f aca="false">IF($A7="","",IFERROR(_xlfn.SWITCH(INDEX(Voortgang!$G$5:$G$504,MATCH($A7&amp;"|"&amp;TEXT(6,"00"),Voortgang!$M$5:$M$504,0)),"Gereed","G","Loopt","L","Geblokkeerd","B","Niet van toepassing","nvt","Niet gestart","-","-"),""))</f>
        <v/>
      </c>
      <c r="I7" s="33" t="str">
        <f aca="false">IF($A7="","",IFERROR(_xlfn.SWITCH(INDEX(Voortgang!$G$5:$G$504,MATCH($A7&amp;"|"&amp;TEXT(7,"00"),Voortgang!$M$5:$M$504,0)),"Gereed","G","Loopt","L","Geblokkeerd","B","Niet van toepassing","nvt","Niet gestart","-","-"),""))</f>
        <v/>
      </c>
      <c r="J7" s="33" t="str">
        <f aca="false">IF($A7="","",IFERROR(_xlfn.SWITCH(INDEX(Voortgang!$G$5:$G$504,MATCH($A7&amp;"|"&amp;TEXT(8,"00"),Voortgang!$M$5:$M$504,0)),"Gereed","G","Loopt","L","Geblokkeerd","B","Niet van toepassing","nvt","Niet gestart","-","-"),""))</f>
        <v/>
      </c>
      <c r="K7" s="33" t="str">
        <f aca="false">IF($A7="","",IFERROR(_xlfn.SWITCH(INDEX(Voortgang!$G$5:$G$504,MATCH($A7&amp;"|"&amp;TEXT(9,"00"),Voortgang!$M$5:$M$504,0)),"Gereed","G","Loopt","L","Geblokkeerd","B","Niet van toepassing","nvt","Niet gestart","-","-"),""))</f>
        <v/>
      </c>
      <c r="L7" s="33" t="str">
        <f aca="false">IF($A7="","",IFERROR(_xlfn.SWITCH(INDEX(Voortgang!$G$5:$G$504,MATCH($A7&amp;"|"&amp;TEXT(10,"00"),Voortgang!$M$5:$M$504,0)),"Gereed","G","Loopt","L","Geblokkeerd","B","Niet van toepassing","nvt","Niet gestart","-","-"),""))</f>
        <v/>
      </c>
      <c r="M7" s="33" t="str">
        <f aca="false">IF($A7="","",IFERROR(_xlfn.SWITCH(INDEX(Voortgang!$G$5:$G$504,MATCH($A7&amp;"|"&amp;TEXT(11,"00"),Voortgang!$M$5:$M$504,0)),"Gereed","G","Loopt","L","Geblokkeerd","B","Niet van toepassing","nvt","Niet gestart","-","-"),""))</f>
        <v/>
      </c>
      <c r="N7" s="33" t="str">
        <f aca="false">IF($A7="","",IFERROR(_xlfn.SWITCH(INDEX(Voortgang!$G$5:$G$504,MATCH($A7&amp;"|"&amp;TEXT(12,"00"),Voortgang!$M$5:$M$504,0)),"Gereed","G","Loopt","L","Geblokkeerd","B","Niet van toepassing","nvt","Niet gestart","-","-"),""))</f>
        <v/>
      </c>
      <c r="O7" s="33" t="str">
        <f aca="false">IF($A7="","",IFERROR(_xlfn.SWITCH(INDEX(Voortgang!$G$5:$G$504,MATCH($A7&amp;"|"&amp;TEXT(13,"00"),Voortgang!$M$5:$M$504,0)),"Gereed","G","Loopt","L","Geblokkeerd","B","Niet van toepassing","nvt","Niet gestart","-","-"),""))</f>
        <v/>
      </c>
      <c r="P7" s="33" t="str">
        <f aca="false">IF($A7="","",IFERROR(_xlfn.SWITCH(INDEX(Voortgang!$G$5:$G$504,MATCH($A7&amp;"|"&amp;TEXT(14,"00"),Voortgang!$M$5:$M$504,0)),"Gereed","G","Loopt","L","Geblokkeerd","B","Niet van toepassing","nvt","Niet gestart","-","-"),""))</f>
        <v/>
      </c>
      <c r="Q7" s="33" t="str">
        <f aca="false">IF($A7="","",IFERROR(_xlfn.SWITCH(INDEX(Voortgang!$G$5:$G$504,MATCH($A7&amp;"|"&amp;TEXT(15,"00"),Voortgang!$M$5:$M$504,0)),"Gereed","G","Loopt","L","Geblokkeerd","B","Niet van toepassing","nvt","Niet gestart","-","-"),""))</f>
        <v/>
      </c>
      <c r="R7" s="33" t="str">
        <f aca="false">IF($A7="","",IFERROR(_xlfn.SWITCH(INDEX(Voortgang!$G$5:$G$504,MATCH($A7&amp;"|"&amp;TEXT(16,"00"),Voortgang!$M$5:$M$504,0)),"Gereed","G","Loopt","L","Geblokkeerd","B","Niet van toepassing","nvt","Niet gestart","-","-"),""))</f>
        <v/>
      </c>
      <c r="S7" s="33" t="str">
        <f aca="false">IF($A7="","",IFERROR(_xlfn.SWITCH(INDEX(Voortgang!$G$5:$G$504,MATCH($A7&amp;"|"&amp;TEXT(17,"00"),Voortgang!$M$5:$M$504,0)),"Gereed","G","Loopt","L","Geblokkeerd","B","Niet van toepassing","nvt","Niet gestart","-","-"),""))</f>
        <v/>
      </c>
      <c r="T7" s="33" t="str">
        <f aca="false">IF($A7="","",IFERROR(_xlfn.SWITCH(INDEX(Voortgang!$G$5:$G$504,MATCH($A7&amp;"|"&amp;TEXT(18,"00"),Voortgang!$M$5:$M$504,0)),"Gereed","G","Loopt","L","Geblokkeerd","B","Niet van toepassing","nvt","Niet gestart","-","-"),""))</f>
        <v/>
      </c>
      <c r="U7" s="33" t="str">
        <f aca="false">IF($A7="","",IFERROR(_xlfn.SWITCH(INDEX(Voortgang!$G$5:$G$504,MATCH($A7&amp;"|"&amp;TEXT(19,"00"),Voortgang!$M$5:$M$504,0)),"Gereed","G","Loopt","L","Geblokkeerd","B","Niet van toepassing","nvt","Niet gestart","-","-"),""))</f>
        <v/>
      </c>
      <c r="V7" s="33" t="str">
        <f aca="false">IF($A7="","",IFERROR(_xlfn.SWITCH(INDEX(Voortgang!$G$5:$G$504,MATCH($A7&amp;"|"&amp;TEXT(20,"00"),Voortgang!$M$5:$M$504,0)),"Gereed","G","Loopt","L","Geblokkeerd","B","Niet van toepassing","nvt","Niet gestart","-","-"),""))</f>
        <v/>
      </c>
    </row>
    <row r="8" customFormat="false" ht="15" hidden="false" customHeight="false" outlineLevel="0" collapsed="false">
      <c r="A8" s="27" t="str">
        <f aca="false">IFERROR(IF(INDEX(Overzicht!$C$5:$C$44,4)="","",IF(INDEX(Overzicht!$C$5:$C$44,4)="Vastgoedontwikkelaar",INDEX(Overzicht!$A$5:$A$44,4),"")),"")</f>
        <v/>
      </c>
      <c r="B8" s="27" t="str">
        <f aca="false">IF($A8="","",INDEX(Overzicht!$B$5:$B$44,4))</f>
        <v/>
      </c>
      <c r="C8" s="33" t="str">
        <f aca="false">IF($A8="","",IFERROR(_xlfn.SWITCH(INDEX(Voortgang!$G$5:$G$504,MATCH($A8&amp;"|"&amp;TEXT(1,"00"),Voortgang!$M$5:$M$504,0)),"Gereed","G","Loopt","L","Geblokkeerd","B","Niet van toepassing","nvt","Niet gestart","-","-"),""))</f>
        <v/>
      </c>
      <c r="D8" s="33" t="str">
        <f aca="false">IF($A8="","",IFERROR(_xlfn.SWITCH(INDEX(Voortgang!$G$5:$G$504,MATCH($A8&amp;"|"&amp;TEXT(2,"00"),Voortgang!$M$5:$M$504,0)),"Gereed","G","Loopt","L","Geblokkeerd","B","Niet van toepassing","nvt","Niet gestart","-","-"),""))</f>
        <v/>
      </c>
      <c r="E8" s="33" t="str">
        <f aca="false">IF($A8="","",IFERROR(_xlfn.SWITCH(INDEX(Voortgang!$G$5:$G$504,MATCH($A8&amp;"|"&amp;TEXT(3,"00"),Voortgang!$M$5:$M$504,0)),"Gereed","G","Loopt","L","Geblokkeerd","B","Niet van toepassing","nvt","Niet gestart","-","-"),""))</f>
        <v/>
      </c>
      <c r="F8" s="33" t="str">
        <f aca="false">IF($A8="","",IFERROR(_xlfn.SWITCH(INDEX(Voortgang!$G$5:$G$504,MATCH($A8&amp;"|"&amp;TEXT(4,"00"),Voortgang!$M$5:$M$504,0)),"Gereed","G","Loopt","L","Geblokkeerd","B","Niet van toepassing","nvt","Niet gestart","-","-"),""))</f>
        <v/>
      </c>
      <c r="G8" s="33" t="str">
        <f aca="false">IF($A8="","",IFERROR(_xlfn.SWITCH(INDEX(Voortgang!$G$5:$G$504,MATCH($A8&amp;"|"&amp;TEXT(5,"00"),Voortgang!$M$5:$M$504,0)),"Gereed","G","Loopt","L","Geblokkeerd","B","Niet van toepassing","nvt","Niet gestart","-","-"),""))</f>
        <v/>
      </c>
      <c r="H8" s="33" t="str">
        <f aca="false">IF($A8="","",IFERROR(_xlfn.SWITCH(INDEX(Voortgang!$G$5:$G$504,MATCH($A8&amp;"|"&amp;TEXT(6,"00"),Voortgang!$M$5:$M$504,0)),"Gereed","G","Loopt","L","Geblokkeerd","B","Niet van toepassing","nvt","Niet gestart","-","-"),""))</f>
        <v/>
      </c>
      <c r="I8" s="33" t="str">
        <f aca="false">IF($A8="","",IFERROR(_xlfn.SWITCH(INDEX(Voortgang!$G$5:$G$504,MATCH($A8&amp;"|"&amp;TEXT(7,"00"),Voortgang!$M$5:$M$504,0)),"Gereed","G","Loopt","L","Geblokkeerd","B","Niet van toepassing","nvt","Niet gestart","-","-"),""))</f>
        <v/>
      </c>
      <c r="J8" s="33" t="str">
        <f aca="false">IF($A8="","",IFERROR(_xlfn.SWITCH(INDEX(Voortgang!$G$5:$G$504,MATCH($A8&amp;"|"&amp;TEXT(8,"00"),Voortgang!$M$5:$M$504,0)),"Gereed","G","Loopt","L","Geblokkeerd","B","Niet van toepassing","nvt","Niet gestart","-","-"),""))</f>
        <v/>
      </c>
      <c r="K8" s="33" t="str">
        <f aca="false">IF($A8="","",IFERROR(_xlfn.SWITCH(INDEX(Voortgang!$G$5:$G$504,MATCH($A8&amp;"|"&amp;TEXT(9,"00"),Voortgang!$M$5:$M$504,0)),"Gereed","G","Loopt","L","Geblokkeerd","B","Niet van toepassing","nvt","Niet gestart","-","-"),""))</f>
        <v/>
      </c>
      <c r="L8" s="33" t="str">
        <f aca="false">IF($A8="","",IFERROR(_xlfn.SWITCH(INDEX(Voortgang!$G$5:$G$504,MATCH($A8&amp;"|"&amp;TEXT(10,"00"),Voortgang!$M$5:$M$504,0)),"Gereed","G","Loopt","L","Geblokkeerd","B","Niet van toepassing","nvt","Niet gestart","-","-"),""))</f>
        <v/>
      </c>
      <c r="M8" s="33" t="str">
        <f aca="false">IF($A8="","",IFERROR(_xlfn.SWITCH(INDEX(Voortgang!$G$5:$G$504,MATCH($A8&amp;"|"&amp;TEXT(11,"00"),Voortgang!$M$5:$M$504,0)),"Gereed","G","Loopt","L","Geblokkeerd","B","Niet van toepassing","nvt","Niet gestart","-","-"),""))</f>
        <v/>
      </c>
      <c r="N8" s="33" t="str">
        <f aca="false">IF($A8="","",IFERROR(_xlfn.SWITCH(INDEX(Voortgang!$G$5:$G$504,MATCH($A8&amp;"|"&amp;TEXT(12,"00"),Voortgang!$M$5:$M$504,0)),"Gereed","G","Loopt","L","Geblokkeerd","B","Niet van toepassing","nvt","Niet gestart","-","-"),""))</f>
        <v/>
      </c>
      <c r="O8" s="33" t="str">
        <f aca="false">IF($A8="","",IFERROR(_xlfn.SWITCH(INDEX(Voortgang!$G$5:$G$504,MATCH($A8&amp;"|"&amp;TEXT(13,"00"),Voortgang!$M$5:$M$504,0)),"Gereed","G","Loopt","L","Geblokkeerd","B","Niet van toepassing","nvt","Niet gestart","-","-"),""))</f>
        <v/>
      </c>
      <c r="P8" s="33" t="str">
        <f aca="false">IF($A8="","",IFERROR(_xlfn.SWITCH(INDEX(Voortgang!$G$5:$G$504,MATCH($A8&amp;"|"&amp;TEXT(14,"00"),Voortgang!$M$5:$M$504,0)),"Gereed","G","Loopt","L","Geblokkeerd","B","Niet van toepassing","nvt","Niet gestart","-","-"),""))</f>
        <v/>
      </c>
      <c r="Q8" s="33" t="str">
        <f aca="false">IF($A8="","",IFERROR(_xlfn.SWITCH(INDEX(Voortgang!$G$5:$G$504,MATCH($A8&amp;"|"&amp;TEXT(15,"00"),Voortgang!$M$5:$M$504,0)),"Gereed","G","Loopt","L","Geblokkeerd","B","Niet van toepassing","nvt","Niet gestart","-","-"),""))</f>
        <v/>
      </c>
      <c r="R8" s="33" t="str">
        <f aca="false">IF($A8="","",IFERROR(_xlfn.SWITCH(INDEX(Voortgang!$G$5:$G$504,MATCH($A8&amp;"|"&amp;TEXT(16,"00"),Voortgang!$M$5:$M$504,0)),"Gereed","G","Loopt","L","Geblokkeerd","B","Niet van toepassing","nvt","Niet gestart","-","-"),""))</f>
        <v/>
      </c>
      <c r="S8" s="33" t="str">
        <f aca="false">IF($A8="","",IFERROR(_xlfn.SWITCH(INDEX(Voortgang!$G$5:$G$504,MATCH($A8&amp;"|"&amp;TEXT(17,"00"),Voortgang!$M$5:$M$504,0)),"Gereed","G","Loopt","L","Geblokkeerd","B","Niet van toepassing","nvt","Niet gestart","-","-"),""))</f>
        <v/>
      </c>
      <c r="T8" s="33" t="str">
        <f aca="false">IF($A8="","",IFERROR(_xlfn.SWITCH(INDEX(Voortgang!$G$5:$G$504,MATCH($A8&amp;"|"&amp;TEXT(18,"00"),Voortgang!$M$5:$M$504,0)),"Gereed","G","Loopt","L","Geblokkeerd","B","Niet van toepassing","nvt","Niet gestart","-","-"),""))</f>
        <v/>
      </c>
      <c r="U8" s="33" t="str">
        <f aca="false">IF($A8="","",IFERROR(_xlfn.SWITCH(INDEX(Voortgang!$G$5:$G$504,MATCH($A8&amp;"|"&amp;TEXT(19,"00"),Voortgang!$M$5:$M$504,0)),"Gereed","G","Loopt","L","Geblokkeerd","B","Niet van toepassing","nvt","Niet gestart","-","-"),""))</f>
        <v/>
      </c>
      <c r="V8" s="33" t="str">
        <f aca="false">IF($A8="","",IFERROR(_xlfn.SWITCH(INDEX(Voortgang!$G$5:$G$504,MATCH($A8&amp;"|"&amp;TEXT(20,"00"),Voortgang!$M$5:$M$504,0)),"Gereed","G","Loopt","L","Geblokkeerd","B","Niet van toepassing","nvt","Niet gestart","-","-"),""))</f>
        <v/>
      </c>
    </row>
    <row r="9" customFormat="false" ht="15" hidden="false" customHeight="false" outlineLevel="0" collapsed="false">
      <c r="A9" s="27" t="str">
        <f aca="false">IFERROR(IF(INDEX(Overzicht!$C$5:$C$44,5)="","",IF(INDEX(Overzicht!$C$5:$C$44,5)="Vastgoedontwikkelaar",INDEX(Overzicht!$A$5:$A$44,5),"")),"")</f>
        <v/>
      </c>
      <c r="B9" s="27" t="str">
        <f aca="false">IF($A9="","",INDEX(Overzicht!$B$5:$B$44,5))</f>
        <v/>
      </c>
      <c r="C9" s="33" t="str">
        <f aca="false">IF($A9="","",IFERROR(_xlfn.SWITCH(INDEX(Voortgang!$G$5:$G$504,MATCH($A9&amp;"|"&amp;TEXT(1,"00"),Voortgang!$M$5:$M$504,0)),"Gereed","G","Loopt","L","Geblokkeerd","B","Niet van toepassing","nvt","Niet gestart","-","-"),""))</f>
        <v/>
      </c>
      <c r="D9" s="33" t="str">
        <f aca="false">IF($A9="","",IFERROR(_xlfn.SWITCH(INDEX(Voortgang!$G$5:$G$504,MATCH($A9&amp;"|"&amp;TEXT(2,"00"),Voortgang!$M$5:$M$504,0)),"Gereed","G","Loopt","L","Geblokkeerd","B","Niet van toepassing","nvt","Niet gestart","-","-"),""))</f>
        <v/>
      </c>
      <c r="E9" s="33" t="str">
        <f aca="false">IF($A9="","",IFERROR(_xlfn.SWITCH(INDEX(Voortgang!$G$5:$G$504,MATCH($A9&amp;"|"&amp;TEXT(3,"00"),Voortgang!$M$5:$M$504,0)),"Gereed","G","Loopt","L","Geblokkeerd","B","Niet van toepassing","nvt","Niet gestart","-","-"),""))</f>
        <v/>
      </c>
      <c r="F9" s="33" t="str">
        <f aca="false">IF($A9="","",IFERROR(_xlfn.SWITCH(INDEX(Voortgang!$G$5:$G$504,MATCH($A9&amp;"|"&amp;TEXT(4,"00"),Voortgang!$M$5:$M$504,0)),"Gereed","G","Loopt","L","Geblokkeerd","B","Niet van toepassing","nvt","Niet gestart","-","-"),""))</f>
        <v/>
      </c>
      <c r="G9" s="33" t="str">
        <f aca="false">IF($A9="","",IFERROR(_xlfn.SWITCH(INDEX(Voortgang!$G$5:$G$504,MATCH($A9&amp;"|"&amp;TEXT(5,"00"),Voortgang!$M$5:$M$504,0)),"Gereed","G","Loopt","L","Geblokkeerd","B","Niet van toepassing","nvt","Niet gestart","-","-"),""))</f>
        <v/>
      </c>
      <c r="H9" s="33" t="str">
        <f aca="false">IF($A9="","",IFERROR(_xlfn.SWITCH(INDEX(Voortgang!$G$5:$G$504,MATCH($A9&amp;"|"&amp;TEXT(6,"00"),Voortgang!$M$5:$M$504,0)),"Gereed","G","Loopt","L","Geblokkeerd","B","Niet van toepassing","nvt","Niet gestart","-","-"),""))</f>
        <v/>
      </c>
      <c r="I9" s="33" t="str">
        <f aca="false">IF($A9="","",IFERROR(_xlfn.SWITCH(INDEX(Voortgang!$G$5:$G$504,MATCH($A9&amp;"|"&amp;TEXT(7,"00"),Voortgang!$M$5:$M$504,0)),"Gereed","G","Loopt","L","Geblokkeerd","B","Niet van toepassing","nvt","Niet gestart","-","-"),""))</f>
        <v/>
      </c>
      <c r="J9" s="33" t="str">
        <f aca="false">IF($A9="","",IFERROR(_xlfn.SWITCH(INDEX(Voortgang!$G$5:$G$504,MATCH($A9&amp;"|"&amp;TEXT(8,"00"),Voortgang!$M$5:$M$504,0)),"Gereed","G","Loopt","L","Geblokkeerd","B","Niet van toepassing","nvt","Niet gestart","-","-"),""))</f>
        <v/>
      </c>
      <c r="K9" s="33" t="str">
        <f aca="false">IF($A9="","",IFERROR(_xlfn.SWITCH(INDEX(Voortgang!$G$5:$G$504,MATCH($A9&amp;"|"&amp;TEXT(9,"00"),Voortgang!$M$5:$M$504,0)),"Gereed","G","Loopt","L","Geblokkeerd","B","Niet van toepassing","nvt","Niet gestart","-","-"),""))</f>
        <v/>
      </c>
      <c r="L9" s="33" t="str">
        <f aca="false">IF($A9="","",IFERROR(_xlfn.SWITCH(INDEX(Voortgang!$G$5:$G$504,MATCH($A9&amp;"|"&amp;TEXT(10,"00"),Voortgang!$M$5:$M$504,0)),"Gereed","G","Loopt","L","Geblokkeerd","B","Niet van toepassing","nvt","Niet gestart","-","-"),""))</f>
        <v/>
      </c>
      <c r="M9" s="33" t="str">
        <f aca="false">IF($A9="","",IFERROR(_xlfn.SWITCH(INDEX(Voortgang!$G$5:$G$504,MATCH($A9&amp;"|"&amp;TEXT(11,"00"),Voortgang!$M$5:$M$504,0)),"Gereed","G","Loopt","L","Geblokkeerd","B","Niet van toepassing","nvt","Niet gestart","-","-"),""))</f>
        <v/>
      </c>
      <c r="N9" s="33" t="str">
        <f aca="false">IF($A9="","",IFERROR(_xlfn.SWITCH(INDEX(Voortgang!$G$5:$G$504,MATCH($A9&amp;"|"&amp;TEXT(12,"00"),Voortgang!$M$5:$M$504,0)),"Gereed","G","Loopt","L","Geblokkeerd","B","Niet van toepassing","nvt","Niet gestart","-","-"),""))</f>
        <v/>
      </c>
      <c r="O9" s="33" t="str">
        <f aca="false">IF($A9="","",IFERROR(_xlfn.SWITCH(INDEX(Voortgang!$G$5:$G$504,MATCH($A9&amp;"|"&amp;TEXT(13,"00"),Voortgang!$M$5:$M$504,0)),"Gereed","G","Loopt","L","Geblokkeerd","B","Niet van toepassing","nvt","Niet gestart","-","-"),""))</f>
        <v/>
      </c>
      <c r="P9" s="33" t="str">
        <f aca="false">IF($A9="","",IFERROR(_xlfn.SWITCH(INDEX(Voortgang!$G$5:$G$504,MATCH($A9&amp;"|"&amp;TEXT(14,"00"),Voortgang!$M$5:$M$504,0)),"Gereed","G","Loopt","L","Geblokkeerd","B","Niet van toepassing","nvt","Niet gestart","-","-"),""))</f>
        <v/>
      </c>
      <c r="Q9" s="33" t="str">
        <f aca="false">IF($A9="","",IFERROR(_xlfn.SWITCH(INDEX(Voortgang!$G$5:$G$504,MATCH($A9&amp;"|"&amp;TEXT(15,"00"),Voortgang!$M$5:$M$504,0)),"Gereed","G","Loopt","L","Geblokkeerd","B","Niet van toepassing","nvt","Niet gestart","-","-"),""))</f>
        <v/>
      </c>
      <c r="R9" s="33" t="str">
        <f aca="false">IF($A9="","",IFERROR(_xlfn.SWITCH(INDEX(Voortgang!$G$5:$G$504,MATCH($A9&amp;"|"&amp;TEXT(16,"00"),Voortgang!$M$5:$M$504,0)),"Gereed","G","Loopt","L","Geblokkeerd","B","Niet van toepassing","nvt","Niet gestart","-","-"),""))</f>
        <v/>
      </c>
      <c r="S9" s="33" t="str">
        <f aca="false">IF($A9="","",IFERROR(_xlfn.SWITCH(INDEX(Voortgang!$G$5:$G$504,MATCH($A9&amp;"|"&amp;TEXT(17,"00"),Voortgang!$M$5:$M$504,0)),"Gereed","G","Loopt","L","Geblokkeerd","B","Niet van toepassing","nvt","Niet gestart","-","-"),""))</f>
        <v/>
      </c>
      <c r="T9" s="33" t="str">
        <f aca="false">IF($A9="","",IFERROR(_xlfn.SWITCH(INDEX(Voortgang!$G$5:$G$504,MATCH($A9&amp;"|"&amp;TEXT(18,"00"),Voortgang!$M$5:$M$504,0)),"Gereed","G","Loopt","L","Geblokkeerd","B","Niet van toepassing","nvt","Niet gestart","-","-"),""))</f>
        <v/>
      </c>
      <c r="U9" s="33" t="str">
        <f aca="false">IF($A9="","",IFERROR(_xlfn.SWITCH(INDEX(Voortgang!$G$5:$G$504,MATCH($A9&amp;"|"&amp;TEXT(19,"00"),Voortgang!$M$5:$M$504,0)),"Gereed","G","Loopt","L","Geblokkeerd","B","Niet van toepassing","nvt","Niet gestart","-","-"),""))</f>
        <v/>
      </c>
      <c r="V9" s="33" t="str">
        <f aca="false">IF($A9="","",IFERROR(_xlfn.SWITCH(INDEX(Voortgang!$G$5:$G$504,MATCH($A9&amp;"|"&amp;TEXT(20,"00"),Voortgang!$M$5:$M$504,0)),"Gereed","G","Loopt","L","Geblokkeerd","B","Niet van toepassing","nvt","Niet gestart","-","-"),""))</f>
        <v/>
      </c>
    </row>
    <row r="10" customFormat="false" ht="15" hidden="false" customHeight="false" outlineLevel="0" collapsed="false">
      <c r="A10" s="27" t="str">
        <f aca="false">IFERROR(IF(INDEX(Overzicht!$C$5:$C$44,6)="","",IF(INDEX(Overzicht!$C$5:$C$44,6)="Vastgoedontwikkelaar",INDEX(Overzicht!$A$5:$A$44,6),"")),"")</f>
        <v/>
      </c>
      <c r="B10" s="27" t="str">
        <f aca="false">IF($A10="","",INDEX(Overzicht!$B$5:$B$44,6))</f>
        <v/>
      </c>
      <c r="C10" s="33" t="str">
        <f aca="false">IF($A10="","",IFERROR(_xlfn.SWITCH(INDEX(Voortgang!$G$5:$G$504,MATCH($A10&amp;"|"&amp;TEXT(1,"00"),Voortgang!$M$5:$M$504,0)),"Gereed","G","Loopt","L","Geblokkeerd","B","Niet van toepassing","nvt","Niet gestart","-","-"),""))</f>
        <v/>
      </c>
      <c r="D10" s="33" t="str">
        <f aca="false">IF($A10="","",IFERROR(_xlfn.SWITCH(INDEX(Voortgang!$G$5:$G$504,MATCH($A10&amp;"|"&amp;TEXT(2,"00"),Voortgang!$M$5:$M$504,0)),"Gereed","G","Loopt","L","Geblokkeerd","B","Niet van toepassing","nvt","Niet gestart","-","-"),""))</f>
        <v/>
      </c>
      <c r="E10" s="33" t="str">
        <f aca="false">IF($A10="","",IFERROR(_xlfn.SWITCH(INDEX(Voortgang!$G$5:$G$504,MATCH($A10&amp;"|"&amp;TEXT(3,"00"),Voortgang!$M$5:$M$504,0)),"Gereed","G","Loopt","L","Geblokkeerd","B","Niet van toepassing","nvt","Niet gestart","-","-"),""))</f>
        <v/>
      </c>
      <c r="F10" s="33" t="str">
        <f aca="false">IF($A10="","",IFERROR(_xlfn.SWITCH(INDEX(Voortgang!$G$5:$G$504,MATCH($A10&amp;"|"&amp;TEXT(4,"00"),Voortgang!$M$5:$M$504,0)),"Gereed","G","Loopt","L","Geblokkeerd","B","Niet van toepassing","nvt","Niet gestart","-","-"),""))</f>
        <v/>
      </c>
      <c r="G10" s="33" t="str">
        <f aca="false">IF($A10="","",IFERROR(_xlfn.SWITCH(INDEX(Voortgang!$G$5:$G$504,MATCH($A10&amp;"|"&amp;TEXT(5,"00"),Voortgang!$M$5:$M$504,0)),"Gereed","G","Loopt","L","Geblokkeerd","B","Niet van toepassing","nvt","Niet gestart","-","-"),""))</f>
        <v/>
      </c>
      <c r="H10" s="33" t="str">
        <f aca="false">IF($A10="","",IFERROR(_xlfn.SWITCH(INDEX(Voortgang!$G$5:$G$504,MATCH($A10&amp;"|"&amp;TEXT(6,"00"),Voortgang!$M$5:$M$504,0)),"Gereed","G","Loopt","L","Geblokkeerd","B","Niet van toepassing","nvt","Niet gestart","-","-"),""))</f>
        <v/>
      </c>
      <c r="I10" s="33" t="str">
        <f aca="false">IF($A10="","",IFERROR(_xlfn.SWITCH(INDEX(Voortgang!$G$5:$G$504,MATCH($A10&amp;"|"&amp;TEXT(7,"00"),Voortgang!$M$5:$M$504,0)),"Gereed","G","Loopt","L","Geblokkeerd","B","Niet van toepassing","nvt","Niet gestart","-","-"),""))</f>
        <v/>
      </c>
      <c r="J10" s="33" t="str">
        <f aca="false">IF($A10="","",IFERROR(_xlfn.SWITCH(INDEX(Voortgang!$G$5:$G$504,MATCH($A10&amp;"|"&amp;TEXT(8,"00"),Voortgang!$M$5:$M$504,0)),"Gereed","G","Loopt","L","Geblokkeerd","B","Niet van toepassing","nvt","Niet gestart","-","-"),""))</f>
        <v/>
      </c>
      <c r="K10" s="33" t="str">
        <f aca="false">IF($A10="","",IFERROR(_xlfn.SWITCH(INDEX(Voortgang!$G$5:$G$504,MATCH($A10&amp;"|"&amp;TEXT(9,"00"),Voortgang!$M$5:$M$504,0)),"Gereed","G","Loopt","L","Geblokkeerd","B","Niet van toepassing","nvt","Niet gestart","-","-"),""))</f>
        <v/>
      </c>
      <c r="L10" s="33" t="str">
        <f aca="false">IF($A10="","",IFERROR(_xlfn.SWITCH(INDEX(Voortgang!$G$5:$G$504,MATCH($A10&amp;"|"&amp;TEXT(10,"00"),Voortgang!$M$5:$M$504,0)),"Gereed","G","Loopt","L","Geblokkeerd","B","Niet van toepassing","nvt","Niet gestart","-","-"),""))</f>
        <v/>
      </c>
      <c r="M10" s="33" t="str">
        <f aca="false">IF($A10="","",IFERROR(_xlfn.SWITCH(INDEX(Voortgang!$G$5:$G$504,MATCH($A10&amp;"|"&amp;TEXT(11,"00"),Voortgang!$M$5:$M$504,0)),"Gereed","G","Loopt","L","Geblokkeerd","B","Niet van toepassing","nvt","Niet gestart","-","-"),""))</f>
        <v/>
      </c>
      <c r="N10" s="33" t="str">
        <f aca="false">IF($A10="","",IFERROR(_xlfn.SWITCH(INDEX(Voortgang!$G$5:$G$504,MATCH($A10&amp;"|"&amp;TEXT(12,"00"),Voortgang!$M$5:$M$504,0)),"Gereed","G","Loopt","L","Geblokkeerd","B","Niet van toepassing","nvt","Niet gestart","-","-"),""))</f>
        <v/>
      </c>
      <c r="O10" s="33" t="str">
        <f aca="false">IF($A10="","",IFERROR(_xlfn.SWITCH(INDEX(Voortgang!$G$5:$G$504,MATCH($A10&amp;"|"&amp;TEXT(13,"00"),Voortgang!$M$5:$M$504,0)),"Gereed","G","Loopt","L","Geblokkeerd","B","Niet van toepassing","nvt","Niet gestart","-","-"),""))</f>
        <v/>
      </c>
      <c r="P10" s="33" t="str">
        <f aca="false">IF($A10="","",IFERROR(_xlfn.SWITCH(INDEX(Voortgang!$G$5:$G$504,MATCH($A10&amp;"|"&amp;TEXT(14,"00"),Voortgang!$M$5:$M$504,0)),"Gereed","G","Loopt","L","Geblokkeerd","B","Niet van toepassing","nvt","Niet gestart","-","-"),""))</f>
        <v/>
      </c>
      <c r="Q10" s="33" t="str">
        <f aca="false">IF($A10="","",IFERROR(_xlfn.SWITCH(INDEX(Voortgang!$G$5:$G$504,MATCH($A10&amp;"|"&amp;TEXT(15,"00"),Voortgang!$M$5:$M$504,0)),"Gereed","G","Loopt","L","Geblokkeerd","B","Niet van toepassing","nvt","Niet gestart","-","-"),""))</f>
        <v/>
      </c>
      <c r="R10" s="33" t="str">
        <f aca="false">IF($A10="","",IFERROR(_xlfn.SWITCH(INDEX(Voortgang!$G$5:$G$504,MATCH($A10&amp;"|"&amp;TEXT(16,"00"),Voortgang!$M$5:$M$504,0)),"Gereed","G","Loopt","L","Geblokkeerd","B","Niet van toepassing","nvt","Niet gestart","-","-"),""))</f>
        <v/>
      </c>
      <c r="S10" s="33" t="str">
        <f aca="false">IF($A10="","",IFERROR(_xlfn.SWITCH(INDEX(Voortgang!$G$5:$G$504,MATCH($A10&amp;"|"&amp;TEXT(17,"00"),Voortgang!$M$5:$M$504,0)),"Gereed","G","Loopt","L","Geblokkeerd","B","Niet van toepassing","nvt","Niet gestart","-","-"),""))</f>
        <v/>
      </c>
      <c r="T10" s="33" t="str">
        <f aca="false">IF($A10="","",IFERROR(_xlfn.SWITCH(INDEX(Voortgang!$G$5:$G$504,MATCH($A10&amp;"|"&amp;TEXT(18,"00"),Voortgang!$M$5:$M$504,0)),"Gereed","G","Loopt","L","Geblokkeerd","B","Niet van toepassing","nvt","Niet gestart","-","-"),""))</f>
        <v/>
      </c>
      <c r="U10" s="33" t="str">
        <f aca="false">IF($A10="","",IFERROR(_xlfn.SWITCH(INDEX(Voortgang!$G$5:$G$504,MATCH($A10&amp;"|"&amp;TEXT(19,"00"),Voortgang!$M$5:$M$504,0)),"Gereed","G","Loopt","L","Geblokkeerd","B","Niet van toepassing","nvt","Niet gestart","-","-"),""))</f>
        <v/>
      </c>
      <c r="V10" s="33" t="str">
        <f aca="false">IF($A10="","",IFERROR(_xlfn.SWITCH(INDEX(Voortgang!$G$5:$G$504,MATCH($A10&amp;"|"&amp;TEXT(20,"00"),Voortgang!$M$5:$M$504,0)),"Gereed","G","Loopt","L","Geblokkeerd","B","Niet van toepassing","nvt","Niet gestart","-","-"),""))</f>
        <v/>
      </c>
    </row>
    <row r="11" customFormat="false" ht="15" hidden="false" customHeight="false" outlineLevel="0" collapsed="false">
      <c r="A11" s="27" t="str">
        <f aca="false">IFERROR(IF(INDEX(Overzicht!$C$5:$C$44,7)="","",IF(INDEX(Overzicht!$C$5:$C$44,7)="Vastgoedontwikkelaar",INDEX(Overzicht!$A$5:$A$44,7),"")),"")</f>
        <v/>
      </c>
      <c r="B11" s="27" t="str">
        <f aca="false">IF($A11="","",INDEX(Overzicht!$B$5:$B$44,7))</f>
        <v/>
      </c>
      <c r="C11" s="33" t="str">
        <f aca="false">IF($A11="","",IFERROR(_xlfn.SWITCH(INDEX(Voortgang!$G$5:$G$504,MATCH($A11&amp;"|"&amp;TEXT(1,"00"),Voortgang!$M$5:$M$504,0)),"Gereed","G","Loopt","L","Geblokkeerd","B","Niet van toepassing","nvt","Niet gestart","-","-"),""))</f>
        <v/>
      </c>
      <c r="D11" s="33" t="str">
        <f aca="false">IF($A11="","",IFERROR(_xlfn.SWITCH(INDEX(Voortgang!$G$5:$G$504,MATCH($A11&amp;"|"&amp;TEXT(2,"00"),Voortgang!$M$5:$M$504,0)),"Gereed","G","Loopt","L","Geblokkeerd","B","Niet van toepassing","nvt","Niet gestart","-","-"),""))</f>
        <v/>
      </c>
      <c r="E11" s="33" t="str">
        <f aca="false">IF($A11="","",IFERROR(_xlfn.SWITCH(INDEX(Voortgang!$G$5:$G$504,MATCH($A11&amp;"|"&amp;TEXT(3,"00"),Voortgang!$M$5:$M$504,0)),"Gereed","G","Loopt","L","Geblokkeerd","B","Niet van toepassing","nvt","Niet gestart","-","-"),""))</f>
        <v/>
      </c>
      <c r="F11" s="33" t="str">
        <f aca="false">IF($A11="","",IFERROR(_xlfn.SWITCH(INDEX(Voortgang!$G$5:$G$504,MATCH($A11&amp;"|"&amp;TEXT(4,"00"),Voortgang!$M$5:$M$504,0)),"Gereed","G","Loopt","L","Geblokkeerd","B","Niet van toepassing","nvt","Niet gestart","-","-"),""))</f>
        <v/>
      </c>
      <c r="G11" s="33" t="str">
        <f aca="false">IF($A11="","",IFERROR(_xlfn.SWITCH(INDEX(Voortgang!$G$5:$G$504,MATCH($A11&amp;"|"&amp;TEXT(5,"00"),Voortgang!$M$5:$M$504,0)),"Gereed","G","Loopt","L","Geblokkeerd","B","Niet van toepassing","nvt","Niet gestart","-","-"),""))</f>
        <v/>
      </c>
      <c r="H11" s="33" t="str">
        <f aca="false">IF($A11="","",IFERROR(_xlfn.SWITCH(INDEX(Voortgang!$G$5:$G$504,MATCH($A11&amp;"|"&amp;TEXT(6,"00"),Voortgang!$M$5:$M$504,0)),"Gereed","G","Loopt","L","Geblokkeerd","B","Niet van toepassing","nvt","Niet gestart","-","-"),""))</f>
        <v/>
      </c>
      <c r="I11" s="33" t="str">
        <f aca="false">IF($A11="","",IFERROR(_xlfn.SWITCH(INDEX(Voortgang!$G$5:$G$504,MATCH($A11&amp;"|"&amp;TEXT(7,"00"),Voortgang!$M$5:$M$504,0)),"Gereed","G","Loopt","L","Geblokkeerd","B","Niet van toepassing","nvt","Niet gestart","-","-"),""))</f>
        <v/>
      </c>
      <c r="J11" s="33" t="str">
        <f aca="false">IF($A11="","",IFERROR(_xlfn.SWITCH(INDEX(Voortgang!$G$5:$G$504,MATCH($A11&amp;"|"&amp;TEXT(8,"00"),Voortgang!$M$5:$M$504,0)),"Gereed","G","Loopt","L","Geblokkeerd","B","Niet van toepassing","nvt","Niet gestart","-","-"),""))</f>
        <v/>
      </c>
      <c r="K11" s="33" t="str">
        <f aca="false">IF($A11="","",IFERROR(_xlfn.SWITCH(INDEX(Voortgang!$G$5:$G$504,MATCH($A11&amp;"|"&amp;TEXT(9,"00"),Voortgang!$M$5:$M$504,0)),"Gereed","G","Loopt","L","Geblokkeerd","B","Niet van toepassing","nvt","Niet gestart","-","-"),""))</f>
        <v/>
      </c>
      <c r="L11" s="33" t="str">
        <f aca="false">IF($A11="","",IFERROR(_xlfn.SWITCH(INDEX(Voortgang!$G$5:$G$504,MATCH($A11&amp;"|"&amp;TEXT(10,"00"),Voortgang!$M$5:$M$504,0)),"Gereed","G","Loopt","L","Geblokkeerd","B","Niet van toepassing","nvt","Niet gestart","-","-"),""))</f>
        <v/>
      </c>
      <c r="M11" s="33" t="str">
        <f aca="false">IF($A11="","",IFERROR(_xlfn.SWITCH(INDEX(Voortgang!$G$5:$G$504,MATCH($A11&amp;"|"&amp;TEXT(11,"00"),Voortgang!$M$5:$M$504,0)),"Gereed","G","Loopt","L","Geblokkeerd","B","Niet van toepassing","nvt","Niet gestart","-","-"),""))</f>
        <v/>
      </c>
      <c r="N11" s="33" t="str">
        <f aca="false">IF($A11="","",IFERROR(_xlfn.SWITCH(INDEX(Voortgang!$G$5:$G$504,MATCH($A11&amp;"|"&amp;TEXT(12,"00"),Voortgang!$M$5:$M$504,0)),"Gereed","G","Loopt","L","Geblokkeerd","B","Niet van toepassing","nvt","Niet gestart","-","-"),""))</f>
        <v/>
      </c>
      <c r="O11" s="33" t="str">
        <f aca="false">IF($A11="","",IFERROR(_xlfn.SWITCH(INDEX(Voortgang!$G$5:$G$504,MATCH($A11&amp;"|"&amp;TEXT(13,"00"),Voortgang!$M$5:$M$504,0)),"Gereed","G","Loopt","L","Geblokkeerd","B","Niet van toepassing","nvt","Niet gestart","-","-"),""))</f>
        <v/>
      </c>
      <c r="P11" s="33" t="str">
        <f aca="false">IF($A11="","",IFERROR(_xlfn.SWITCH(INDEX(Voortgang!$G$5:$G$504,MATCH($A11&amp;"|"&amp;TEXT(14,"00"),Voortgang!$M$5:$M$504,0)),"Gereed","G","Loopt","L","Geblokkeerd","B","Niet van toepassing","nvt","Niet gestart","-","-"),""))</f>
        <v/>
      </c>
      <c r="Q11" s="33" t="str">
        <f aca="false">IF($A11="","",IFERROR(_xlfn.SWITCH(INDEX(Voortgang!$G$5:$G$504,MATCH($A11&amp;"|"&amp;TEXT(15,"00"),Voortgang!$M$5:$M$504,0)),"Gereed","G","Loopt","L","Geblokkeerd","B","Niet van toepassing","nvt","Niet gestart","-","-"),""))</f>
        <v/>
      </c>
      <c r="R11" s="33" t="str">
        <f aca="false">IF($A11="","",IFERROR(_xlfn.SWITCH(INDEX(Voortgang!$G$5:$G$504,MATCH($A11&amp;"|"&amp;TEXT(16,"00"),Voortgang!$M$5:$M$504,0)),"Gereed","G","Loopt","L","Geblokkeerd","B","Niet van toepassing","nvt","Niet gestart","-","-"),""))</f>
        <v/>
      </c>
      <c r="S11" s="33" t="str">
        <f aca="false">IF($A11="","",IFERROR(_xlfn.SWITCH(INDEX(Voortgang!$G$5:$G$504,MATCH($A11&amp;"|"&amp;TEXT(17,"00"),Voortgang!$M$5:$M$504,0)),"Gereed","G","Loopt","L","Geblokkeerd","B","Niet van toepassing","nvt","Niet gestart","-","-"),""))</f>
        <v/>
      </c>
      <c r="T11" s="33" t="str">
        <f aca="false">IF($A11="","",IFERROR(_xlfn.SWITCH(INDEX(Voortgang!$G$5:$G$504,MATCH($A11&amp;"|"&amp;TEXT(18,"00"),Voortgang!$M$5:$M$504,0)),"Gereed","G","Loopt","L","Geblokkeerd","B","Niet van toepassing","nvt","Niet gestart","-","-"),""))</f>
        <v/>
      </c>
      <c r="U11" s="33" t="str">
        <f aca="false">IF($A11="","",IFERROR(_xlfn.SWITCH(INDEX(Voortgang!$G$5:$G$504,MATCH($A11&amp;"|"&amp;TEXT(19,"00"),Voortgang!$M$5:$M$504,0)),"Gereed","G","Loopt","L","Geblokkeerd","B","Niet van toepassing","nvt","Niet gestart","-","-"),""))</f>
        <v/>
      </c>
      <c r="V11" s="33" t="str">
        <f aca="false">IF($A11="","",IFERROR(_xlfn.SWITCH(INDEX(Voortgang!$G$5:$G$504,MATCH($A11&amp;"|"&amp;TEXT(20,"00"),Voortgang!$M$5:$M$504,0)),"Gereed","G","Loopt","L","Geblokkeerd","B","Niet van toepassing","nvt","Niet gestart","-","-"),""))</f>
        <v/>
      </c>
    </row>
    <row r="12" customFormat="false" ht="15" hidden="false" customHeight="false" outlineLevel="0" collapsed="false">
      <c r="A12" s="27" t="str">
        <f aca="false">IFERROR(IF(INDEX(Overzicht!$C$5:$C$44,8)="","",IF(INDEX(Overzicht!$C$5:$C$44,8)="Vastgoedontwikkelaar",INDEX(Overzicht!$A$5:$A$44,8),"")),"")</f>
        <v/>
      </c>
      <c r="B12" s="27" t="str">
        <f aca="false">IF($A12="","",INDEX(Overzicht!$B$5:$B$44,8))</f>
        <v/>
      </c>
      <c r="C12" s="33" t="str">
        <f aca="false">IF($A12="","",IFERROR(_xlfn.SWITCH(INDEX(Voortgang!$G$5:$G$504,MATCH($A12&amp;"|"&amp;TEXT(1,"00"),Voortgang!$M$5:$M$504,0)),"Gereed","G","Loopt","L","Geblokkeerd","B","Niet van toepassing","nvt","Niet gestart","-","-"),""))</f>
        <v/>
      </c>
      <c r="D12" s="33" t="str">
        <f aca="false">IF($A12="","",IFERROR(_xlfn.SWITCH(INDEX(Voortgang!$G$5:$G$504,MATCH($A12&amp;"|"&amp;TEXT(2,"00"),Voortgang!$M$5:$M$504,0)),"Gereed","G","Loopt","L","Geblokkeerd","B","Niet van toepassing","nvt","Niet gestart","-","-"),""))</f>
        <v/>
      </c>
      <c r="E12" s="33" t="str">
        <f aca="false">IF($A12="","",IFERROR(_xlfn.SWITCH(INDEX(Voortgang!$G$5:$G$504,MATCH($A12&amp;"|"&amp;TEXT(3,"00"),Voortgang!$M$5:$M$504,0)),"Gereed","G","Loopt","L","Geblokkeerd","B","Niet van toepassing","nvt","Niet gestart","-","-"),""))</f>
        <v/>
      </c>
      <c r="F12" s="33" t="str">
        <f aca="false">IF($A12="","",IFERROR(_xlfn.SWITCH(INDEX(Voortgang!$G$5:$G$504,MATCH($A12&amp;"|"&amp;TEXT(4,"00"),Voortgang!$M$5:$M$504,0)),"Gereed","G","Loopt","L","Geblokkeerd","B","Niet van toepassing","nvt","Niet gestart","-","-"),""))</f>
        <v/>
      </c>
      <c r="G12" s="33" t="str">
        <f aca="false">IF($A12="","",IFERROR(_xlfn.SWITCH(INDEX(Voortgang!$G$5:$G$504,MATCH($A12&amp;"|"&amp;TEXT(5,"00"),Voortgang!$M$5:$M$504,0)),"Gereed","G","Loopt","L","Geblokkeerd","B","Niet van toepassing","nvt","Niet gestart","-","-"),""))</f>
        <v/>
      </c>
      <c r="H12" s="33" t="str">
        <f aca="false">IF($A12="","",IFERROR(_xlfn.SWITCH(INDEX(Voortgang!$G$5:$G$504,MATCH($A12&amp;"|"&amp;TEXT(6,"00"),Voortgang!$M$5:$M$504,0)),"Gereed","G","Loopt","L","Geblokkeerd","B","Niet van toepassing","nvt","Niet gestart","-","-"),""))</f>
        <v/>
      </c>
      <c r="I12" s="33" t="str">
        <f aca="false">IF($A12="","",IFERROR(_xlfn.SWITCH(INDEX(Voortgang!$G$5:$G$504,MATCH($A12&amp;"|"&amp;TEXT(7,"00"),Voortgang!$M$5:$M$504,0)),"Gereed","G","Loopt","L","Geblokkeerd","B","Niet van toepassing","nvt","Niet gestart","-","-"),""))</f>
        <v/>
      </c>
      <c r="J12" s="33" t="str">
        <f aca="false">IF($A12="","",IFERROR(_xlfn.SWITCH(INDEX(Voortgang!$G$5:$G$504,MATCH($A12&amp;"|"&amp;TEXT(8,"00"),Voortgang!$M$5:$M$504,0)),"Gereed","G","Loopt","L","Geblokkeerd","B","Niet van toepassing","nvt","Niet gestart","-","-"),""))</f>
        <v/>
      </c>
      <c r="K12" s="33" t="str">
        <f aca="false">IF($A12="","",IFERROR(_xlfn.SWITCH(INDEX(Voortgang!$G$5:$G$504,MATCH($A12&amp;"|"&amp;TEXT(9,"00"),Voortgang!$M$5:$M$504,0)),"Gereed","G","Loopt","L","Geblokkeerd","B","Niet van toepassing","nvt","Niet gestart","-","-"),""))</f>
        <v/>
      </c>
      <c r="L12" s="33" t="str">
        <f aca="false">IF($A12="","",IFERROR(_xlfn.SWITCH(INDEX(Voortgang!$G$5:$G$504,MATCH($A12&amp;"|"&amp;TEXT(10,"00"),Voortgang!$M$5:$M$504,0)),"Gereed","G","Loopt","L","Geblokkeerd","B","Niet van toepassing","nvt","Niet gestart","-","-"),""))</f>
        <v/>
      </c>
      <c r="M12" s="33" t="str">
        <f aca="false">IF($A12="","",IFERROR(_xlfn.SWITCH(INDEX(Voortgang!$G$5:$G$504,MATCH($A12&amp;"|"&amp;TEXT(11,"00"),Voortgang!$M$5:$M$504,0)),"Gereed","G","Loopt","L","Geblokkeerd","B","Niet van toepassing","nvt","Niet gestart","-","-"),""))</f>
        <v/>
      </c>
      <c r="N12" s="33" t="str">
        <f aca="false">IF($A12="","",IFERROR(_xlfn.SWITCH(INDEX(Voortgang!$G$5:$G$504,MATCH($A12&amp;"|"&amp;TEXT(12,"00"),Voortgang!$M$5:$M$504,0)),"Gereed","G","Loopt","L","Geblokkeerd","B","Niet van toepassing","nvt","Niet gestart","-","-"),""))</f>
        <v/>
      </c>
      <c r="O12" s="33" t="str">
        <f aca="false">IF($A12="","",IFERROR(_xlfn.SWITCH(INDEX(Voortgang!$G$5:$G$504,MATCH($A12&amp;"|"&amp;TEXT(13,"00"),Voortgang!$M$5:$M$504,0)),"Gereed","G","Loopt","L","Geblokkeerd","B","Niet van toepassing","nvt","Niet gestart","-","-"),""))</f>
        <v/>
      </c>
      <c r="P12" s="33" t="str">
        <f aca="false">IF($A12="","",IFERROR(_xlfn.SWITCH(INDEX(Voortgang!$G$5:$G$504,MATCH($A12&amp;"|"&amp;TEXT(14,"00"),Voortgang!$M$5:$M$504,0)),"Gereed","G","Loopt","L","Geblokkeerd","B","Niet van toepassing","nvt","Niet gestart","-","-"),""))</f>
        <v/>
      </c>
      <c r="Q12" s="33" t="str">
        <f aca="false">IF($A12="","",IFERROR(_xlfn.SWITCH(INDEX(Voortgang!$G$5:$G$504,MATCH($A12&amp;"|"&amp;TEXT(15,"00"),Voortgang!$M$5:$M$504,0)),"Gereed","G","Loopt","L","Geblokkeerd","B","Niet van toepassing","nvt","Niet gestart","-","-"),""))</f>
        <v/>
      </c>
      <c r="R12" s="33" t="str">
        <f aca="false">IF($A12="","",IFERROR(_xlfn.SWITCH(INDEX(Voortgang!$G$5:$G$504,MATCH($A12&amp;"|"&amp;TEXT(16,"00"),Voortgang!$M$5:$M$504,0)),"Gereed","G","Loopt","L","Geblokkeerd","B","Niet van toepassing","nvt","Niet gestart","-","-"),""))</f>
        <v/>
      </c>
      <c r="S12" s="33" t="str">
        <f aca="false">IF($A12="","",IFERROR(_xlfn.SWITCH(INDEX(Voortgang!$G$5:$G$504,MATCH($A12&amp;"|"&amp;TEXT(17,"00"),Voortgang!$M$5:$M$504,0)),"Gereed","G","Loopt","L","Geblokkeerd","B","Niet van toepassing","nvt","Niet gestart","-","-"),""))</f>
        <v/>
      </c>
      <c r="T12" s="33" t="str">
        <f aca="false">IF($A12="","",IFERROR(_xlfn.SWITCH(INDEX(Voortgang!$G$5:$G$504,MATCH($A12&amp;"|"&amp;TEXT(18,"00"),Voortgang!$M$5:$M$504,0)),"Gereed","G","Loopt","L","Geblokkeerd","B","Niet van toepassing","nvt","Niet gestart","-","-"),""))</f>
        <v/>
      </c>
      <c r="U12" s="33" t="str">
        <f aca="false">IF($A12="","",IFERROR(_xlfn.SWITCH(INDEX(Voortgang!$G$5:$G$504,MATCH($A12&amp;"|"&amp;TEXT(19,"00"),Voortgang!$M$5:$M$504,0)),"Gereed","G","Loopt","L","Geblokkeerd","B","Niet van toepassing","nvt","Niet gestart","-","-"),""))</f>
        <v/>
      </c>
      <c r="V12" s="33" t="str">
        <f aca="false">IF($A12="","",IFERROR(_xlfn.SWITCH(INDEX(Voortgang!$G$5:$G$504,MATCH($A12&amp;"|"&amp;TEXT(20,"00"),Voortgang!$M$5:$M$504,0)),"Gereed","G","Loopt","L","Geblokkeerd","B","Niet van toepassing","nvt","Niet gestart","-","-"),""))</f>
        <v/>
      </c>
    </row>
    <row r="13" customFormat="false" ht="15" hidden="false" customHeight="false" outlineLevel="0" collapsed="false">
      <c r="A13" s="27" t="str">
        <f aca="false">IFERROR(IF(INDEX(Overzicht!$C$5:$C$44,9)="","",IF(INDEX(Overzicht!$C$5:$C$44,9)="Vastgoedontwikkelaar",INDEX(Overzicht!$A$5:$A$44,9),"")),"")</f>
        <v/>
      </c>
      <c r="B13" s="27" t="str">
        <f aca="false">IF($A13="","",INDEX(Overzicht!$B$5:$B$44,9))</f>
        <v/>
      </c>
      <c r="C13" s="33" t="str">
        <f aca="false">IF($A13="","",IFERROR(_xlfn.SWITCH(INDEX(Voortgang!$G$5:$G$504,MATCH($A13&amp;"|"&amp;TEXT(1,"00"),Voortgang!$M$5:$M$504,0)),"Gereed","G","Loopt","L","Geblokkeerd","B","Niet van toepassing","nvt","Niet gestart","-","-"),""))</f>
        <v/>
      </c>
      <c r="D13" s="33" t="str">
        <f aca="false">IF($A13="","",IFERROR(_xlfn.SWITCH(INDEX(Voortgang!$G$5:$G$504,MATCH($A13&amp;"|"&amp;TEXT(2,"00"),Voortgang!$M$5:$M$504,0)),"Gereed","G","Loopt","L","Geblokkeerd","B","Niet van toepassing","nvt","Niet gestart","-","-"),""))</f>
        <v/>
      </c>
      <c r="E13" s="33" t="str">
        <f aca="false">IF($A13="","",IFERROR(_xlfn.SWITCH(INDEX(Voortgang!$G$5:$G$504,MATCH($A13&amp;"|"&amp;TEXT(3,"00"),Voortgang!$M$5:$M$504,0)),"Gereed","G","Loopt","L","Geblokkeerd","B","Niet van toepassing","nvt","Niet gestart","-","-"),""))</f>
        <v/>
      </c>
      <c r="F13" s="33" t="str">
        <f aca="false">IF($A13="","",IFERROR(_xlfn.SWITCH(INDEX(Voortgang!$G$5:$G$504,MATCH($A13&amp;"|"&amp;TEXT(4,"00"),Voortgang!$M$5:$M$504,0)),"Gereed","G","Loopt","L","Geblokkeerd","B","Niet van toepassing","nvt","Niet gestart","-","-"),""))</f>
        <v/>
      </c>
      <c r="G13" s="33" t="str">
        <f aca="false">IF($A13="","",IFERROR(_xlfn.SWITCH(INDEX(Voortgang!$G$5:$G$504,MATCH($A13&amp;"|"&amp;TEXT(5,"00"),Voortgang!$M$5:$M$504,0)),"Gereed","G","Loopt","L","Geblokkeerd","B","Niet van toepassing","nvt","Niet gestart","-","-"),""))</f>
        <v/>
      </c>
      <c r="H13" s="33" t="str">
        <f aca="false">IF($A13="","",IFERROR(_xlfn.SWITCH(INDEX(Voortgang!$G$5:$G$504,MATCH($A13&amp;"|"&amp;TEXT(6,"00"),Voortgang!$M$5:$M$504,0)),"Gereed","G","Loopt","L","Geblokkeerd","B","Niet van toepassing","nvt","Niet gestart","-","-"),""))</f>
        <v/>
      </c>
      <c r="I13" s="33" t="str">
        <f aca="false">IF($A13="","",IFERROR(_xlfn.SWITCH(INDEX(Voortgang!$G$5:$G$504,MATCH($A13&amp;"|"&amp;TEXT(7,"00"),Voortgang!$M$5:$M$504,0)),"Gereed","G","Loopt","L","Geblokkeerd","B","Niet van toepassing","nvt","Niet gestart","-","-"),""))</f>
        <v/>
      </c>
      <c r="J13" s="33" t="str">
        <f aca="false">IF($A13="","",IFERROR(_xlfn.SWITCH(INDEX(Voortgang!$G$5:$G$504,MATCH($A13&amp;"|"&amp;TEXT(8,"00"),Voortgang!$M$5:$M$504,0)),"Gereed","G","Loopt","L","Geblokkeerd","B","Niet van toepassing","nvt","Niet gestart","-","-"),""))</f>
        <v/>
      </c>
      <c r="K13" s="33" t="str">
        <f aca="false">IF($A13="","",IFERROR(_xlfn.SWITCH(INDEX(Voortgang!$G$5:$G$504,MATCH($A13&amp;"|"&amp;TEXT(9,"00"),Voortgang!$M$5:$M$504,0)),"Gereed","G","Loopt","L","Geblokkeerd","B","Niet van toepassing","nvt","Niet gestart","-","-"),""))</f>
        <v/>
      </c>
      <c r="L13" s="33" t="str">
        <f aca="false">IF($A13="","",IFERROR(_xlfn.SWITCH(INDEX(Voortgang!$G$5:$G$504,MATCH($A13&amp;"|"&amp;TEXT(10,"00"),Voortgang!$M$5:$M$504,0)),"Gereed","G","Loopt","L","Geblokkeerd","B","Niet van toepassing","nvt","Niet gestart","-","-"),""))</f>
        <v/>
      </c>
      <c r="M13" s="33" t="str">
        <f aca="false">IF($A13="","",IFERROR(_xlfn.SWITCH(INDEX(Voortgang!$G$5:$G$504,MATCH($A13&amp;"|"&amp;TEXT(11,"00"),Voortgang!$M$5:$M$504,0)),"Gereed","G","Loopt","L","Geblokkeerd","B","Niet van toepassing","nvt","Niet gestart","-","-"),""))</f>
        <v/>
      </c>
      <c r="N13" s="33" t="str">
        <f aca="false">IF($A13="","",IFERROR(_xlfn.SWITCH(INDEX(Voortgang!$G$5:$G$504,MATCH($A13&amp;"|"&amp;TEXT(12,"00"),Voortgang!$M$5:$M$504,0)),"Gereed","G","Loopt","L","Geblokkeerd","B","Niet van toepassing","nvt","Niet gestart","-","-"),""))</f>
        <v/>
      </c>
      <c r="O13" s="33" t="str">
        <f aca="false">IF($A13="","",IFERROR(_xlfn.SWITCH(INDEX(Voortgang!$G$5:$G$504,MATCH($A13&amp;"|"&amp;TEXT(13,"00"),Voortgang!$M$5:$M$504,0)),"Gereed","G","Loopt","L","Geblokkeerd","B","Niet van toepassing","nvt","Niet gestart","-","-"),""))</f>
        <v/>
      </c>
      <c r="P13" s="33" t="str">
        <f aca="false">IF($A13="","",IFERROR(_xlfn.SWITCH(INDEX(Voortgang!$G$5:$G$504,MATCH($A13&amp;"|"&amp;TEXT(14,"00"),Voortgang!$M$5:$M$504,0)),"Gereed","G","Loopt","L","Geblokkeerd","B","Niet van toepassing","nvt","Niet gestart","-","-"),""))</f>
        <v/>
      </c>
      <c r="Q13" s="33" t="str">
        <f aca="false">IF($A13="","",IFERROR(_xlfn.SWITCH(INDEX(Voortgang!$G$5:$G$504,MATCH($A13&amp;"|"&amp;TEXT(15,"00"),Voortgang!$M$5:$M$504,0)),"Gereed","G","Loopt","L","Geblokkeerd","B","Niet van toepassing","nvt","Niet gestart","-","-"),""))</f>
        <v/>
      </c>
      <c r="R13" s="33" t="str">
        <f aca="false">IF($A13="","",IFERROR(_xlfn.SWITCH(INDEX(Voortgang!$G$5:$G$504,MATCH($A13&amp;"|"&amp;TEXT(16,"00"),Voortgang!$M$5:$M$504,0)),"Gereed","G","Loopt","L","Geblokkeerd","B","Niet van toepassing","nvt","Niet gestart","-","-"),""))</f>
        <v/>
      </c>
      <c r="S13" s="33" t="str">
        <f aca="false">IF($A13="","",IFERROR(_xlfn.SWITCH(INDEX(Voortgang!$G$5:$G$504,MATCH($A13&amp;"|"&amp;TEXT(17,"00"),Voortgang!$M$5:$M$504,0)),"Gereed","G","Loopt","L","Geblokkeerd","B","Niet van toepassing","nvt","Niet gestart","-","-"),""))</f>
        <v/>
      </c>
      <c r="T13" s="33" t="str">
        <f aca="false">IF($A13="","",IFERROR(_xlfn.SWITCH(INDEX(Voortgang!$G$5:$G$504,MATCH($A13&amp;"|"&amp;TEXT(18,"00"),Voortgang!$M$5:$M$504,0)),"Gereed","G","Loopt","L","Geblokkeerd","B","Niet van toepassing","nvt","Niet gestart","-","-"),""))</f>
        <v/>
      </c>
      <c r="U13" s="33" t="str">
        <f aca="false">IF($A13="","",IFERROR(_xlfn.SWITCH(INDEX(Voortgang!$G$5:$G$504,MATCH($A13&amp;"|"&amp;TEXT(19,"00"),Voortgang!$M$5:$M$504,0)),"Gereed","G","Loopt","L","Geblokkeerd","B","Niet van toepassing","nvt","Niet gestart","-","-"),""))</f>
        <v/>
      </c>
      <c r="V13" s="33" t="str">
        <f aca="false">IF($A13="","",IFERROR(_xlfn.SWITCH(INDEX(Voortgang!$G$5:$G$504,MATCH($A13&amp;"|"&amp;TEXT(20,"00"),Voortgang!$M$5:$M$504,0)),"Gereed","G","Loopt","L","Geblokkeerd","B","Niet van toepassing","nvt","Niet gestart","-","-"),""))</f>
        <v/>
      </c>
    </row>
    <row r="14" customFormat="false" ht="15" hidden="false" customHeight="false" outlineLevel="0" collapsed="false">
      <c r="A14" s="27" t="str">
        <f aca="false">IFERROR(IF(INDEX(Overzicht!$C$5:$C$44,10)="","",IF(INDEX(Overzicht!$C$5:$C$44,10)="Vastgoedontwikkelaar",INDEX(Overzicht!$A$5:$A$44,10),"")),"")</f>
        <v/>
      </c>
      <c r="B14" s="27" t="str">
        <f aca="false">IF($A14="","",INDEX(Overzicht!$B$5:$B$44,10))</f>
        <v/>
      </c>
      <c r="C14" s="33" t="str">
        <f aca="false">IF($A14="","",IFERROR(_xlfn.SWITCH(INDEX(Voortgang!$G$5:$G$504,MATCH($A14&amp;"|"&amp;TEXT(1,"00"),Voortgang!$M$5:$M$504,0)),"Gereed","G","Loopt","L","Geblokkeerd","B","Niet van toepassing","nvt","Niet gestart","-","-"),""))</f>
        <v/>
      </c>
      <c r="D14" s="33" t="str">
        <f aca="false">IF($A14="","",IFERROR(_xlfn.SWITCH(INDEX(Voortgang!$G$5:$G$504,MATCH($A14&amp;"|"&amp;TEXT(2,"00"),Voortgang!$M$5:$M$504,0)),"Gereed","G","Loopt","L","Geblokkeerd","B","Niet van toepassing","nvt","Niet gestart","-","-"),""))</f>
        <v/>
      </c>
      <c r="E14" s="33" t="str">
        <f aca="false">IF($A14="","",IFERROR(_xlfn.SWITCH(INDEX(Voortgang!$G$5:$G$504,MATCH($A14&amp;"|"&amp;TEXT(3,"00"),Voortgang!$M$5:$M$504,0)),"Gereed","G","Loopt","L","Geblokkeerd","B","Niet van toepassing","nvt","Niet gestart","-","-"),""))</f>
        <v/>
      </c>
      <c r="F14" s="33" t="str">
        <f aca="false">IF($A14="","",IFERROR(_xlfn.SWITCH(INDEX(Voortgang!$G$5:$G$504,MATCH($A14&amp;"|"&amp;TEXT(4,"00"),Voortgang!$M$5:$M$504,0)),"Gereed","G","Loopt","L","Geblokkeerd","B","Niet van toepassing","nvt","Niet gestart","-","-"),""))</f>
        <v/>
      </c>
      <c r="G14" s="33" t="str">
        <f aca="false">IF($A14="","",IFERROR(_xlfn.SWITCH(INDEX(Voortgang!$G$5:$G$504,MATCH($A14&amp;"|"&amp;TEXT(5,"00"),Voortgang!$M$5:$M$504,0)),"Gereed","G","Loopt","L","Geblokkeerd","B","Niet van toepassing","nvt","Niet gestart","-","-"),""))</f>
        <v/>
      </c>
      <c r="H14" s="33" t="str">
        <f aca="false">IF($A14="","",IFERROR(_xlfn.SWITCH(INDEX(Voortgang!$G$5:$G$504,MATCH($A14&amp;"|"&amp;TEXT(6,"00"),Voortgang!$M$5:$M$504,0)),"Gereed","G","Loopt","L","Geblokkeerd","B","Niet van toepassing","nvt","Niet gestart","-","-"),""))</f>
        <v/>
      </c>
      <c r="I14" s="33" t="str">
        <f aca="false">IF($A14="","",IFERROR(_xlfn.SWITCH(INDEX(Voortgang!$G$5:$G$504,MATCH($A14&amp;"|"&amp;TEXT(7,"00"),Voortgang!$M$5:$M$504,0)),"Gereed","G","Loopt","L","Geblokkeerd","B","Niet van toepassing","nvt","Niet gestart","-","-"),""))</f>
        <v/>
      </c>
      <c r="J14" s="33" t="str">
        <f aca="false">IF($A14="","",IFERROR(_xlfn.SWITCH(INDEX(Voortgang!$G$5:$G$504,MATCH($A14&amp;"|"&amp;TEXT(8,"00"),Voortgang!$M$5:$M$504,0)),"Gereed","G","Loopt","L","Geblokkeerd","B","Niet van toepassing","nvt","Niet gestart","-","-"),""))</f>
        <v/>
      </c>
      <c r="K14" s="33" t="str">
        <f aca="false">IF($A14="","",IFERROR(_xlfn.SWITCH(INDEX(Voortgang!$G$5:$G$504,MATCH($A14&amp;"|"&amp;TEXT(9,"00"),Voortgang!$M$5:$M$504,0)),"Gereed","G","Loopt","L","Geblokkeerd","B","Niet van toepassing","nvt","Niet gestart","-","-"),""))</f>
        <v/>
      </c>
      <c r="L14" s="33" t="str">
        <f aca="false">IF($A14="","",IFERROR(_xlfn.SWITCH(INDEX(Voortgang!$G$5:$G$504,MATCH($A14&amp;"|"&amp;TEXT(10,"00"),Voortgang!$M$5:$M$504,0)),"Gereed","G","Loopt","L","Geblokkeerd","B","Niet van toepassing","nvt","Niet gestart","-","-"),""))</f>
        <v/>
      </c>
      <c r="M14" s="33" t="str">
        <f aca="false">IF($A14="","",IFERROR(_xlfn.SWITCH(INDEX(Voortgang!$G$5:$G$504,MATCH($A14&amp;"|"&amp;TEXT(11,"00"),Voortgang!$M$5:$M$504,0)),"Gereed","G","Loopt","L","Geblokkeerd","B","Niet van toepassing","nvt","Niet gestart","-","-"),""))</f>
        <v/>
      </c>
      <c r="N14" s="33" t="str">
        <f aca="false">IF($A14="","",IFERROR(_xlfn.SWITCH(INDEX(Voortgang!$G$5:$G$504,MATCH($A14&amp;"|"&amp;TEXT(12,"00"),Voortgang!$M$5:$M$504,0)),"Gereed","G","Loopt","L","Geblokkeerd","B","Niet van toepassing","nvt","Niet gestart","-","-"),""))</f>
        <v/>
      </c>
      <c r="O14" s="33" t="str">
        <f aca="false">IF($A14="","",IFERROR(_xlfn.SWITCH(INDEX(Voortgang!$G$5:$G$504,MATCH($A14&amp;"|"&amp;TEXT(13,"00"),Voortgang!$M$5:$M$504,0)),"Gereed","G","Loopt","L","Geblokkeerd","B","Niet van toepassing","nvt","Niet gestart","-","-"),""))</f>
        <v/>
      </c>
      <c r="P14" s="33" t="str">
        <f aca="false">IF($A14="","",IFERROR(_xlfn.SWITCH(INDEX(Voortgang!$G$5:$G$504,MATCH($A14&amp;"|"&amp;TEXT(14,"00"),Voortgang!$M$5:$M$504,0)),"Gereed","G","Loopt","L","Geblokkeerd","B","Niet van toepassing","nvt","Niet gestart","-","-"),""))</f>
        <v/>
      </c>
      <c r="Q14" s="33" t="str">
        <f aca="false">IF($A14="","",IFERROR(_xlfn.SWITCH(INDEX(Voortgang!$G$5:$G$504,MATCH($A14&amp;"|"&amp;TEXT(15,"00"),Voortgang!$M$5:$M$504,0)),"Gereed","G","Loopt","L","Geblokkeerd","B","Niet van toepassing","nvt","Niet gestart","-","-"),""))</f>
        <v/>
      </c>
      <c r="R14" s="33" t="str">
        <f aca="false">IF($A14="","",IFERROR(_xlfn.SWITCH(INDEX(Voortgang!$G$5:$G$504,MATCH($A14&amp;"|"&amp;TEXT(16,"00"),Voortgang!$M$5:$M$504,0)),"Gereed","G","Loopt","L","Geblokkeerd","B","Niet van toepassing","nvt","Niet gestart","-","-"),""))</f>
        <v/>
      </c>
      <c r="S14" s="33" t="str">
        <f aca="false">IF($A14="","",IFERROR(_xlfn.SWITCH(INDEX(Voortgang!$G$5:$G$504,MATCH($A14&amp;"|"&amp;TEXT(17,"00"),Voortgang!$M$5:$M$504,0)),"Gereed","G","Loopt","L","Geblokkeerd","B","Niet van toepassing","nvt","Niet gestart","-","-"),""))</f>
        <v/>
      </c>
      <c r="T14" s="33" t="str">
        <f aca="false">IF($A14="","",IFERROR(_xlfn.SWITCH(INDEX(Voortgang!$G$5:$G$504,MATCH($A14&amp;"|"&amp;TEXT(18,"00"),Voortgang!$M$5:$M$504,0)),"Gereed","G","Loopt","L","Geblokkeerd","B","Niet van toepassing","nvt","Niet gestart","-","-"),""))</f>
        <v/>
      </c>
      <c r="U14" s="33" t="str">
        <f aca="false">IF($A14="","",IFERROR(_xlfn.SWITCH(INDEX(Voortgang!$G$5:$G$504,MATCH($A14&amp;"|"&amp;TEXT(19,"00"),Voortgang!$M$5:$M$504,0)),"Gereed","G","Loopt","L","Geblokkeerd","B","Niet van toepassing","nvt","Niet gestart","-","-"),""))</f>
        <v/>
      </c>
      <c r="V14" s="33" t="str">
        <f aca="false">IF($A14="","",IFERROR(_xlfn.SWITCH(INDEX(Voortgang!$G$5:$G$504,MATCH($A14&amp;"|"&amp;TEXT(20,"00"),Voortgang!$M$5:$M$504,0)),"Gereed","G","Loopt","L","Geblokkeerd","B","Niet van toepassing","nvt","Niet gestart","-","-"),""))</f>
        <v/>
      </c>
    </row>
    <row r="15" customFormat="false" ht="15" hidden="false" customHeight="false" outlineLevel="0" collapsed="false">
      <c r="A15" s="27" t="str">
        <f aca="false">IFERROR(IF(INDEX(Overzicht!$C$5:$C$44,11)="","",IF(INDEX(Overzicht!$C$5:$C$44,11)="Vastgoedontwikkelaar",INDEX(Overzicht!$A$5:$A$44,11),"")),"")</f>
        <v/>
      </c>
      <c r="B15" s="27" t="str">
        <f aca="false">IF($A15="","",INDEX(Overzicht!$B$5:$B$44,11))</f>
        <v/>
      </c>
      <c r="C15" s="33" t="str">
        <f aca="false">IF($A15="","",IFERROR(_xlfn.SWITCH(INDEX(Voortgang!$G$5:$G$504,MATCH($A15&amp;"|"&amp;TEXT(1,"00"),Voortgang!$M$5:$M$504,0)),"Gereed","G","Loopt","L","Geblokkeerd","B","Niet van toepassing","nvt","Niet gestart","-","-"),""))</f>
        <v/>
      </c>
      <c r="D15" s="33" t="str">
        <f aca="false">IF($A15="","",IFERROR(_xlfn.SWITCH(INDEX(Voortgang!$G$5:$G$504,MATCH($A15&amp;"|"&amp;TEXT(2,"00"),Voortgang!$M$5:$M$504,0)),"Gereed","G","Loopt","L","Geblokkeerd","B","Niet van toepassing","nvt","Niet gestart","-","-"),""))</f>
        <v/>
      </c>
      <c r="E15" s="33" t="str">
        <f aca="false">IF($A15="","",IFERROR(_xlfn.SWITCH(INDEX(Voortgang!$G$5:$G$504,MATCH($A15&amp;"|"&amp;TEXT(3,"00"),Voortgang!$M$5:$M$504,0)),"Gereed","G","Loopt","L","Geblokkeerd","B","Niet van toepassing","nvt","Niet gestart","-","-"),""))</f>
        <v/>
      </c>
      <c r="F15" s="33" t="str">
        <f aca="false">IF($A15="","",IFERROR(_xlfn.SWITCH(INDEX(Voortgang!$G$5:$G$504,MATCH($A15&amp;"|"&amp;TEXT(4,"00"),Voortgang!$M$5:$M$504,0)),"Gereed","G","Loopt","L","Geblokkeerd","B","Niet van toepassing","nvt","Niet gestart","-","-"),""))</f>
        <v/>
      </c>
      <c r="G15" s="33" t="str">
        <f aca="false">IF($A15="","",IFERROR(_xlfn.SWITCH(INDEX(Voortgang!$G$5:$G$504,MATCH($A15&amp;"|"&amp;TEXT(5,"00"),Voortgang!$M$5:$M$504,0)),"Gereed","G","Loopt","L","Geblokkeerd","B","Niet van toepassing","nvt","Niet gestart","-","-"),""))</f>
        <v/>
      </c>
      <c r="H15" s="33" t="str">
        <f aca="false">IF($A15="","",IFERROR(_xlfn.SWITCH(INDEX(Voortgang!$G$5:$G$504,MATCH($A15&amp;"|"&amp;TEXT(6,"00"),Voortgang!$M$5:$M$504,0)),"Gereed","G","Loopt","L","Geblokkeerd","B","Niet van toepassing","nvt","Niet gestart","-","-"),""))</f>
        <v/>
      </c>
      <c r="I15" s="33" t="str">
        <f aca="false">IF($A15="","",IFERROR(_xlfn.SWITCH(INDEX(Voortgang!$G$5:$G$504,MATCH($A15&amp;"|"&amp;TEXT(7,"00"),Voortgang!$M$5:$M$504,0)),"Gereed","G","Loopt","L","Geblokkeerd","B","Niet van toepassing","nvt","Niet gestart","-","-"),""))</f>
        <v/>
      </c>
      <c r="J15" s="33" t="str">
        <f aca="false">IF($A15="","",IFERROR(_xlfn.SWITCH(INDEX(Voortgang!$G$5:$G$504,MATCH($A15&amp;"|"&amp;TEXT(8,"00"),Voortgang!$M$5:$M$504,0)),"Gereed","G","Loopt","L","Geblokkeerd","B","Niet van toepassing","nvt","Niet gestart","-","-"),""))</f>
        <v/>
      </c>
      <c r="K15" s="33" t="str">
        <f aca="false">IF($A15="","",IFERROR(_xlfn.SWITCH(INDEX(Voortgang!$G$5:$G$504,MATCH($A15&amp;"|"&amp;TEXT(9,"00"),Voortgang!$M$5:$M$504,0)),"Gereed","G","Loopt","L","Geblokkeerd","B","Niet van toepassing","nvt","Niet gestart","-","-"),""))</f>
        <v/>
      </c>
      <c r="L15" s="33" t="str">
        <f aca="false">IF($A15="","",IFERROR(_xlfn.SWITCH(INDEX(Voortgang!$G$5:$G$504,MATCH($A15&amp;"|"&amp;TEXT(10,"00"),Voortgang!$M$5:$M$504,0)),"Gereed","G","Loopt","L","Geblokkeerd","B","Niet van toepassing","nvt","Niet gestart","-","-"),""))</f>
        <v/>
      </c>
      <c r="M15" s="33" t="str">
        <f aca="false">IF($A15="","",IFERROR(_xlfn.SWITCH(INDEX(Voortgang!$G$5:$G$504,MATCH($A15&amp;"|"&amp;TEXT(11,"00"),Voortgang!$M$5:$M$504,0)),"Gereed","G","Loopt","L","Geblokkeerd","B","Niet van toepassing","nvt","Niet gestart","-","-"),""))</f>
        <v/>
      </c>
      <c r="N15" s="33" t="str">
        <f aca="false">IF($A15="","",IFERROR(_xlfn.SWITCH(INDEX(Voortgang!$G$5:$G$504,MATCH($A15&amp;"|"&amp;TEXT(12,"00"),Voortgang!$M$5:$M$504,0)),"Gereed","G","Loopt","L","Geblokkeerd","B","Niet van toepassing","nvt","Niet gestart","-","-"),""))</f>
        <v/>
      </c>
      <c r="O15" s="33" t="str">
        <f aca="false">IF($A15="","",IFERROR(_xlfn.SWITCH(INDEX(Voortgang!$G$5:$G$504,MATCH($A15&amp;"|"&amp;TEXT(13,"00"),Voortgang!$M$5:$M$504,0)),"Gereed","G","Loopt","L","Geblokkeerd","B","Niet van toepassing","nvt","Niet gestart","-","-"),""))</f>
        <v/>
      </c>
      <c r="P15" s="33" t="str">
        <f aca="false">IF($A15="","",IFERROR(_xlfn.SWITCH(INDEX(Voortgang!$G$5:$G$504,MATCH($A15&amp;"|"&amp;TEXT(14,"00"),Voortgang!$M$5:$M$504,0)),"Gereed","G","Loopt","L","Geblokkeerd","B","Niet van toepassing","nvt","Niet gestart","-","-"),""))</f>
        <v/>
      </c>
      <c r="Q15" s="33" t="str">
        <f aca="false">IF($A15="","",IFERROR(_xlfn.SWITCH(INDEX(Voortgang!$G$5:$G$504,MATCH($A15&amp;"|"&amp;TEXT(15,"00"),Voortgang!$M$5:$M$504,0)),"Gereed","G","Loopt","L","Geblokkeerd","B","Niet van toepassing","nvt","Niet gestart","-","-"),""))</f>
        <v/>
      </c>
      <c r="R15" s="33" t="str">
        <f aca="false">IF($A15="","",IFERROR(_xlfn.SWITCH(INDEX(Voortgang!$G$5:$G$504,MATCH($A15&amp;"|"&amp;TEXT(16,"00"),Voortgang!$M$5:$M$504,0)),"Gereed","G","Loopt","L","Geblokkeerd","B","Niet van toepassing","nvt","Niet gestart","-","-"),""))</f>
        <v/>
      </c>
      <c r="S15" s="33" t="str">
        <f aca="false">IF($A15="","",IFERROR(_xlfn.SWITCH(INDEX(Voortgang!$G$5:$G$504,MATCH($A15&amp;"|"&amp;TEXT(17,"00"),Voortgang!$M$5:$M$504,0)),"Gereed","G","Loopt","L","Geblokkeerd","B","Niet van toepassing","nvt","Niet gestart","-","-"),""))</f>
        <v/>
      </c>
      <c r="T15" s="33" t="str">
        <f aca="false">IF($A15="","",IFERROR(_xlfn.SWITCH(INDEX(Voortgang!$G$5:$G$504,MATCH($A15&amp;"|"&amp;TEXT(18,"00"),Voortgang!$M$5:$M$504,0)),"Gereed","G","Loopt","L","Geblokkeerd","B","Niet van toepassing","nvt","Niet gestart","-","-"),""))</f>
        <v/>
      </c>
      <c r="U15" s="33" t="str">
        <f aca="false">IF($A15="","",IFERROR(_xlfn.SWITCH(INDEX(Voortgang!$G$5:$G$504,MATCH($A15&amp;"|"&amp;TEXT(19,"00"),Voortgang!$M$5:$M$504,0)),"Gereed","G","Loopt","L","Geblokkeerd","B","Niet van toepassing","nvt","Niet gestart","-","-"),""))</f>
        <v/>
      </c>
      <c r="V15" s="33" t="str">
        <f aca="false">IF($A15="","",IFERROR(_xlfn.SWITCH(INDEX(Voortgang!$G$5:$G$504,MATCH($A15&amp;"|"&amp;TEXT(20,"00"),Voortgang!$M$5:$M$504,0)),"Gereed","G","Loopt","L","Geblokkeerd","B","Niet van toepassing","nvt","Niet gestart","-","-"),""))</f>
        <v/>
      </c>
    </row>
    <row r="16" customFormat="false" ht="15" hidden="false" customHeight="false" outlineLevel="0" collapsed="false">
      <c r="A16" s="27" t="str">
        <f aca="false">IFERROR(IF(INDEX(Overzicht!$C$5:$C$44,12)="","",IF(INDEX(Overzicht!$C$5:$C$44,12)="Vastgoedontwikkelaar",INDEX(Overzicht!$A$5:$A$44,12),"")),"")</f>
        <v/>
      </c>
      <c r="B16" s="27" t="str">
        <f aca="false">IF($A16="","",INDEX(Overzicht!$B$5:$B$44,12))</f>
        <v/>
      </c>
      <c r="C16" s="33" t="str">
        <f aca="false">IF($A16="","",IFERROR(_xlfn.SWITCH(INDEX(Voortgang!$G$5:$G$504,MATCH($A16&amp;"|"&amp;TEXT(1,"00"),Voortgang!$M$5:$M$504,0)),"Gereed","G","Loopt","L","Geblokkeerd","B","Niet van toepassing","nvt","Niet gestart","-","-"),""))</f>
        <v/>
      </c>
      <c r="D16" s="33" t="str">
        <f aca="false">IF($A16="","",IFERROR(_xlfn.SWITCH(INDEX(Voortgang!$G$5:$G$504,MATCH($A16&amp;"|"&amp;TEXT(2,"00"),Voortgang!$M$5:$M$504,0)),"Gereed","G","Loopt","L","Geblokkeerd","B","Niet van toepassing","nvt","Niet gestart","-","-"),""))</f>
        <v/>
      </c>
      <c r="E16" s="33" t="str">
        <f aca="false">IF($A16="","",IFERROR(_xlfn.SWITCH(INDEX(Voortgang!$G$5:$G$504,MATCH($A16&amp;"|"&amp;TEXT(3,"00"),Voortgang!$M$5:$M$504,0)),"Gereed","G","Loopt","L","Geblokkeerd","B","Niet van toepassing","nvt","Niet gestart","-","-"),""))</f>
        <v/>
      </c>
      <c r="F16" s="33" t="str">
        <f aca="false">IF($A16="","",IFERROR(_xlfn.SWITCH(INDEX(Voortgang!$G$5:$G$504,MATCH($A16&amp;"|"&amp;TEXT(4,"00"),Voortgang!$M$5:$M$504,0)),"Gereed","G","Loopt","L","Geblokkeerd","B","Niet van toepassing","nvt","Niet gestart","-","-"),""))</f>
        <v/>
      </c>
      <c r="G16" s="33" t="str">
        <f aca="false">IF($A16="","",IFERROR(_xlfn.SWITCH(INDEX(Voortgang!$G$5:$G$504,MATCH($A16&amp;"|"&amp;TEXT(5,"00"),Voortgang!$M$5:$M$504,0)),"Gereed","G","Loopt","L","Geblokkeerd","B","Niet van toepassing","nvt","Niet gestart","-","-"),""))</f>
        <v/>
      </c>
      <c r="H16" s="33" t="str">
        <f aca="false">IF($A16="","",IFERROR(_xlfn.SWITCH(INDEX(Voortgang!$G$5:$G$504,MATCH($A16&amp;"|"&amp;TEXT(6,"00"),Voortgang!$M$5:$M$504,0)),"Gereed","G","Loopt","L","Geblokkeerd","B","Niet van toepassing","nvt","Niet gestart","-","-"),""))</f>
        <v/>
      </c>
      <c r="I16" s="33" t="str">
        <f aca="false">IF($A16="","",IFERROR(_xlfn.SWITCH(INDEX(Voortgang!$G$5:$G$504,MATCH($A16&amp;"|"&amp;TEXT(7,"00"),Voortgang!$M$5:$M$504,0)),"Gereed","G","Loopt","L","Geblokkeerd","B","Niet van toepassing","nvt","Niet gestart","-","-"),""))</f>
        <v/>
      </c>
      <c r="J16" s="33" t="str">
        <f aca="false">IF($A16="","",IFERROR(_xlfn.SWITCH(INDEX(Voortgang!$G$5:$G$504,MATCH($A16&amp;"|"&amp;TEXT(8,"00"),Voortgang!$M$5:$M$504,0)),"Gereed","G","Loopt","L","Geblokkeerd","B","Niet van toepassing","nvt","Niet gestart","-","-"),""))</f>
        <v/>
      </c>
      <c r="K16" s="33" t="str">
        <f aca="false">IF($A16="","",IFERROR(_xlfn.SWITCH(INDEX(Voortgang!$G$5:$G$504,MATCH($A16&amp;"|"&amp;TEXT(9,"00"),Voortgang!$M$5:$M$504,0)),"Gereed","G","Loopt","L","Geblokkeerd","B","Niet van toepassing","nvt","Niet gestart","-","-"),""))</f>
        <v/>
      </c>
      <c r="L16" s="33" t="str">
        <f aca="false">IF($A16="","",IFERROR(_xlfn.SWITCH(INDEX(Voortgang!$G$5:$G$504,MATCH($A16&amp;"|"&amp;TEXT(10,"00"),Voortgang!$M$5:$M$504,0)),"Gereed","G","Loopt","L","Geblokkeerd","B","Niet van toepassing","nvt","Niet gestart","-","-"),""))</f>
        <v/>
      </c>
      <c r="M16" s="33" t="str">
        <f aca="false">IF($A16="","",IFERROR(_xlfn.SWITCH(INDEX(Voortgang!$G$5:$G$504,MATCH($A16&amp;"|"&amp;TEXT(11,"00"),Voortgang!$M$5:$M$504,0)),"Gereed","G","Loopt","L","Geblokkeerd","B","Niet van toepassing","nvt","Niet gestart","-","-"),""))</f>
        <v/>
      </c>
      <c r="N16" s="33" t="str">
        <f aca="false">IF($A16="","",IFERROR(_xlfn.SWITCH(INDEX(Voortgang!$G$5:$G$504,MATCH($A16&amp;"|"&amp;TEXT(12,"00"),Voortgang!$M$5:$M$504,0)),"Gereed","G","Loopt","L","Geblokkeerd","B","Niet van toepassing","nvt","Niet gestart","-","-"),""))</f>
        <v/>
      </c>
      <c r="O16" s="33" t="str">
        <f aca="false">IF($A16="","",IFERROR(_xlfn.SWITCH(INDEX(Voortgang!$G$5:$G$504,MATCH($A16&amp;"|"&amp;TEXT(13,"00"),Voortgang!$M$5:$M$504,0)),"Gereed","G","Loopt","L","Geblokkeerd","B","Niet van toepassing","nvt","Niet gestart","-","-"),""))</f>
        <v/>
      </c>
      <c r="P16" s="33" t="str">
        <f aca="false">IF($A16="","",IFERROR(_xlfn.SWITCH(INDEX(Voortgang!$G$5:$G$504,MATCH($A16&amp;"|"&amp;TEXT(14,"00"),Voortgang!$M$5:$M$504,0)),"Gereed","G","Loopt","L","Geblokkeerd","B","Niet van toepassing","nvt","Niet gestart","-","-"),""))</f>
        <v/>
      </c>
      <c r="Q16" s="33" t="str">
        <f aca="false">IF($A16="","",IFERROR(_xlfn.SWITCH(INDEX(Voortgang!$G$5:$G$504,MATCH($A16&amp;"|"&amp;TEXT(15,"00"),Voortgang!$M$5:$M$504,0)),"Gereed","G","Loopt","L","Geblokkeerd","B","Niet van toepassing","nvt","Niet gestart","-","-"),""))</f>
        <v/>
      </c>
      <c r="R16" s="33" t="str">
        <f aca="false">IF($A16="","",IFERROR(_xlfn.SWITCH(INDEX(Voortgang!$G$5:$G$504,MATCH($A16&amp;"|"&amp;TEXT(16,"00"),Voortgang!$M$5:$M$504,0)),"Gereed","G","Loopt","L","Geblokkeerd","B","Niet van toepassing","nvt","Niet gestart","-","-"),""))</f>
        <v/>
      </c>
      <c r="S16" s="33" t="str">
        <f aca="false">IF($A16="","",IFERROR(_xlfn.SWITCH(INDEX(Voortgang!$G$5:$G$504,MATCH($A16&amp;"|"&amp;TEXT(17,"00"),Voortgang!$M$5:$M$504,0)),"Gereed","G","Loopt","L","Geblokkeerd","B","Niet van toepassing","nvt","Niet gestart","-","-"),""))</f>
        <v/>
      </c>
      <c r="T16" s="33" t="str">
        <f aca="false">IF($A16="","",IFERROR(_xlfn.SWITCH(INDEX(Voortgang!$G$5:$G$504,MATCH($A16&amp;"|"&amp;TEXT(18,"00"),Voortgang!$M$5:$M$504,0)),"Gereed","G","Loopt","L","Geblokkeerd","B","Niet van toepassing","nvt","Niet gestart","-","-"),""))</f>
        <v/>
      </c>
      <c r="U16" s="33" t="str">
        <f aca="false">IF($A16="","",IFERROR(_xlfn.SWITCH(INDEX(Voortgang!$G$5:$G$504,MATCH($A16&amp;"|"&amp;TEXT(19,"00"),Voortgang!$M$5:$M$504,0)),"Gereed","G","Loopt","L","Geblokkeerd","B","Niet van toepassing","nvt","Niet gestart","-","-"),""))</f>
        <v/>
      </c>
      <c r="V16" s="33" t="str">
        <f aca="false">IF($A16="","",IFERROR(_xlfn.SWITCH(INDEX(Voortgang!$G$5:$G$504,MATCH($A16&amp;"|"&amp;TEXT(20,"00"),Voortgang!$M$5:$M$504,0)),"Gereed","G","Loopt","L","Geblokkeerd","B","Niet van toepassing","nvt","Niet gestart","-","-"),""))</f>
        <v/>
      </c>
    </row>
    <row r="17" customFormat="false" ht="15" hidden="false" customHeight="false" outlineLevel="0" collapsed="false">
      <c r="A17" s="27" t="str">
        <f aca="false">IFERROR(IF(INDEX(Overzicht!$C$5:$C$44,13)="","",IF(INDEX(Overzicht!$C$5:$C$44,13)="Vastgoedontwikkelaar",INDEX(Overzicht!$A$5:$A$44,13),"")),"")</f>
        <v/>
      </c>
      <c r="B17" s="27" t="str">
        <f aca="false">IF($A17="","",INDEX(Overzicht!$B$5:$B$44,13))</f>
        <v/>
      </c>
      <c r="C17" s="33" t="str">
        <f aca="false">IF($A17="","",IFERROR(_xlfn.SWITCH(INDEX(Voortgang!$G$5:$G$504,MATCH($A17&amp;"|"&amp;TEXT(1,"00"),Voortgang!$M$5:$M$504,0)),"Gereed","G","Loopt","L","Geblokkeerd","B","Niet van toepassing","nvt","Niet gestart","-","-"),""))</f>
        <v/>
      </c>
      <c r="D17" s="33" t="str">
        <f aca="false">IF($A17="","",IFERROR(_xlfn.SWITCH(INDEX(Voortgang!$G$5:$G$504,MATCH($A17&amp;"|"&amp;TEXT(2,"00"),Voortgang!$M$5:$M$504,0)),"Gereed","G","Loopt","L","Geblokkeerd","B","Niet van toepassing","nvt","Niet gestart","-","-"),""))</f>
        <v/>
      </c>
      <c r="E17" s="33" t="str">
        <f aca="false">IF($A17="","",IFERROR(_xlfn.SWITCH(INDEX(Voortgang!$G$5:$G$504,MATCH($A17&amp;"|"&amp;TEXT(3,"00"),Voortgang!$M$5:$M$504,0)),"Gereed","G","Loopt","L","Geblokkeerd","B","Niet van toepassing","nvt","Niet gestart","-","-"),""))</f>
        <v/>
      </c>
      <c r="F17" s="33" t="str">
        <f aca="false">IF($A17="","",IFERROR(_xlfn.SWITCH(INDEX(Voortgang!$G$5:$G$504,MATCH($A17&amp;"|"&amp;TEXT(4,"00"),Voortgang!$M$5:$M$504,0)),"Gereed","G","Loopt","L","Geblokkeerd","B","Niet van toepassing","nvt","Niet gestart","-","-"),""))</f>
        <v/>
      </c>
      <c r="G17" s="33" t="str">
        <f aca="false">IF($A17="","",IFERROR(_xlfn.SWITCH(INDEX(Voortgang!$G$5:$G$504,MATCH($A17&amp;"|"&amp;TEXT(5,"00"),Voortgang!$M$5:$M$504,0)),"Gereed","G","Loopt","L","Geblokkeerd","B","Niet van toepassing","nvt","Niet gestart","-","-"),""))</f>
        <v/>
      </c>
      <c r="H17" s="33" t="str">
        <f aca="false">IF($A17="","",IFERROR(_xlfn.SWITCH(INDEX(Voortgang!$G$5:$G$504,MATCH($A17&amp;"|"&amp;TEXT(6,"00"),Voortgang!$M$5:$M$504,0)),"Gereed","G","Loopt","L","Geblokkeerd","B","Niet van toepassing","nvt","Niet gestart","-","-"),""))</f>
        <v/>
      </c>
      <c r="I17" s="33" t="str">
        <f aca="false">IF($A17="","",IFERROR(_xlfn.SWITCH(INDEX(Voortgang!$G$5:$G$504,MATCH($A17&amp;"|"&amp;TEXT(7,"00"),Voortgang!$M$5:$M$504,0)),"Gereed","G","Loopt","L","Geblokkeerd","B","Niet van toepassing","nvt","Niet gestart","-","-"),""))</f>
        <v/>
      </c>
      <c r="J17" s="33" t="str">
        <f aca="false">IF($A17="","",IFERROR(_xlfn.SWITCH(INDEX(Voortgang!$G$5:$G$504,MATCH($A17&amp;"|"&amp;TEXT(8,"00"),Voortgang!$M$5:$M$504,0)),"Gereed","G","Loopt","L","Geblokkeerd","B","Niet van toepassing","nvt","Niet gestart","-","-"),""))</f>
        <v/>
      </c>
      <c r="K17" s="33" t="str">
        <f aca="false">IF($A17="","",IFERROR(_xlfn.SWITCH(INDEX(Voortgang!$G$5:$G$504,MATCH($A17&amp;"|"&amp;TEXT(9,"00"),Voortgang!$M$5:$M$504,0)),"Gereed","G","Loopt","L","Geblokkeerd","B","Niet van toepassing","nvt","Niet gestart","-","-"),""))</f>
        <v/>
      </c>
      <c r="L17" s="33" t="str">
        <f aca="false">IF($A17="","",IFERROR(_xlfn.SWITCH(INDEX(Voortgang!$G$5:$G$504,MATCH($A17&amp;"|"&amp;TEXT(10,"00"),Voortgang!$M$5:$M$504,0)),"Gereed","G","Loopt","L","Geblokkeerd","B","Niet van toepassing","nvt","Niet gestart","-","-"),""))</f>
        <v/>
      </c>
      <c r="M17" s="33" t="str">
        <f aca="false">IF($A17="","",IFERROR(_xlfn.SWITCH(INDEX(Voortgang!$G$5:$G$504,MATCH($A17&amp;"|"&amp;TEXT(11,"00"),Voortgang!$M$5:$M$504,0)),"Gereed","G","Loopt","L","Geblokkeerd","B","Niet van toepassing","nvt","Niet gestart","-","-"),""))</f>
        <v/>
      </c>
      <c r="N17" s="33" t="str">
        <f aca="false">IF($A17="","",IFERROR(_xlfn.SWITCH(INDEX(Voortgang!$G$5:$G$504,MATCH($A17&amp;"|"&amp;TEXT(12,"00"),Voortgang!$M$5:$M$504,0)),"Gereed","G","Loopt","L","Geblokkeerd","B","Niet van toepassing","nvt","Niet gestart","-","-"),""))</f>
        <v/>
      </c>
      <c r="O17" s="33" t="str">
        <f aca="false">IF($A17="","",IFERROR(_xlfn.SWITCH(INDEX(Voortgang!$G$5:$G$504,MATCH($A17&amp;"|"&amp;TEXT(13,"00"),Voortgang!$M$5:$M$504,0)),"Gereed","G","Loopt","L","Geblokkeerd","B","Niet van toepassing","nvt","Niet gestart","-","-"),""))</f>
        <v/>
      </c>
      <c r="P17" s="33" t="str">
        <f aca="false">IF($A17="","",IFERROR(_xlfn.SWITCH(INDEX(Voortgang!$G$5:$G$504,MATCH($A17&amp;"|"&amp;TEXT(14,"00"),Voortgang!$M$5:$M$504,0)),"Gereed","G","Loopt","L","Geblokkeerd","B","Niet van toepassing","nvt","Niet gestart","-","-"),""))</f>
        <v/>
      </c>
      <c r="Q17" s="33" t="str">
        <f aca="false">IF($A17="","",IFERROR(_xlfn.SWITCH(INDEX(Voortgang!$G$5:$G$504,MATCH($A17&amp;"|"&amp;TEXT(15,"00"),Voortgang!$M$5:$M$504,0)),"Gereed","G","Loopt","L","Geblokkeerd","B","Niet van toepassing","nvt","Niet gestart","-","-"),""))</f>
        <v/>
      </c>
      <c r="R17" s="33" t="str">
        <f aca="false">IF($A17="","",IFERROR(_xlfn.SWITCH(INDEX(Voortgang!$G$5:$G$504,MATCH($A17&amp;"|"&amp;TEXT(16,"00"),Voortgang!$M$5:$M$504,0)),"Gereed","G","Loopt","L","Geblokkeerd","B","Niet van toepassing","nvt","Niet gestart","-","-"),""))</f>
        <v/>
      </c>
      <c r="S17" s="33" t="str">
        <f aca="false">IF($A17="","",IFERROR(_xlfn.SWITCH(INDEX(Voortgang!$G$5:$G$504,MATCH($A17&amp;"|"&amp;TEXT(17,"00"),Voortgang!$M$5:$M$504,0)),"Gereed","G","Loopt","L","Geblokkeerd","B","Niet van toepassing","nvt","Niet gestart","-","-"),""))</f>
        <v/>
      </c>
      <c r="T17" s="33" t="str">
        <f aca="false">IF($A17="","",IFERROR(_xlfn.SWITCH(INDEX(Voortgang!$G$5:$G$504,MATCH($A17&amp;"|"&amp;TEXT(18,"00"),Voortgang!$M$5:$M$504,0)),"Gereed","G","Loopt","L","Geblokkeerd","B","Niet van toepassing","nvt","Niet gestart","-","-"),""))</f>
        <v/>
      </c>
      <c r="U17" s="33" t="str">
        <f aca="false">IF($A17="","",IFERROR(_xlfn.SWITCH(INDEX(Voortgang!$G$5:$G$504,MATCH($A17&amp;"|"&amp;TEXT(19,"00"),Voortgang!$M$5:$M$504,0)),"Gereed","G","Loopt","L","Geblokkeerd","B","Niet van toepassing","nvt","Niet gestart","-","-"),""))</f>
        <v/>
      </c>
      <c r="V17" s="33" t="str">
        <f aca="false">IF($A17="","",IFERROR(_xlfn.SWITCH(INDEX(Voortgang!$G$5:$G$504,MATCH($A17&amp;"|"&amp;TEXT(20,"00"),Voortgang!$M$5:$M$504,0)),"Gereed","G","Loopt","L","Geblokkeerd","B","Niet van toepassing","nvt","Niet gestart","-","-"),""))</f>
        <v/>
      </c>
    </row>
    <row r="18" customFormat="false" ht="15" hidden="false" customHeight="false" outlineLevel="0" collapsed="false">
      <c r="A18" s="27" t="str">
        <f aca="false">IFERROR(IF(INDEX(Overzicht!$C$5:$C$44,14)="","",IF(INDEX(Overzicht!$C$5:$C$44,14)="Vastgoedontwikkelaar",INDEX(Overzicht!$A$5:$A$44,14),"")),"")</f>
        <v/>
      </c>
      <c r="B18" s="27" t="str">
        <f aca="false">IF($A18="","",INDEX(Overzicht!$B$5:$B$44,14))</f>
        <v/>
      </c>
      <c r="C18" s="33" t="str">
        <f aca="false">IF($A18="","",IFERROR(_xlfn.SWITCH(INDEX(Voortgang!$G$5:$G$504,MATCH($A18&amp;"|"&amp;TEXT(1,"00"),Voortgang!$M$5:$M$504,0)),"Gereed","G","Loopt","L","Geblokkeerd","B","Niet van toepassing","nvt","Niet gestart","-","-"),""))</f>
        <v/>
      </c>
      <c r="D18" s="33" t="str">
        <f aca="false">IF($A18="","",IFERROR(_xlfn.SWITCH(INDEX(Voortgang!$G$5:$G$504,MATCH($A18&amp;"|"&amp;TEXT(2,"00"),Voortgang!$M$5:$M$504,0)),"Gereed","G","Loopt","L","Geblokkeerd","B","Niet van toepassing","nvt","Niet gestart","-","-"),""))</f>
        <v/>
      </c>
      <c r="E18" s="33" t="str">
        <f aca="false">IF($A18="","",IFERROR(_xlfn.SWITCH(INDEX(Voortgang!$G$5:$G$504,MATCH($A18&amp;"|"&amp;TEXT(3,"00"),Voortgang!$M$5:$M$504,0)),"Gereed","G","Loopt","L","Geblokkeerd","B","Niet van toepassing","nvt","Niet gestart","-","-"),""))</f>
        <v/>
      </c>
      <c r="F18" s="33" t="str">
        <f aca="false">IF($A18="","",IFERROR(_xlfn.SWITCH(INDEX(Voortgang!$G$5:$G$504,MATCH($A18&amp;"|"&amp;TEXT(4,"00"),Voortgang!$M$5:$M$504,0)),"Gereed","G","Loopt","L","Geblokkeerd","B","Niet van toepassing","nvt","Niet gestart","-","-"),""))</f>
        <v/>
      </c>
      <c r="G18" s="33" t="str">
        <f aca="false">IF($A18="","",IFERROR(_xlfn.SWITCH(INDEX(Voortgang!$G$5:$G$504,MATCH($A18&amp;"|"&amp;TEXT(5,"00"),Voortgang!$M$5:$M$504,0)),"Gereed","G","Loopt","L","Geblokkeerd","B","Niet van toepassing","nvt","Niet gestart","-","-"),""))</f>
        <v/>
      </c>
      <c r="H18" s="33" t="str">
        <f aca="false">IF($A18="","",IFERROR(_xlfn.SWITCH(INDEX(Voortgang!$G$5:$G$504,MATCH($A18&amp;"|"&amp;TEXT(6,"00"),Voortgang!$M$5:$M$504,0)),"Gereed","G","Loopt","L","Geblokkeerd","B","Niet van toepassing","nvt","Niet gestart","-","-"),""))</f>
        <v/>
      </c>
      <c r="I18" s="33" t="str">
        <f aca="false">IF($A18="","",IFERROR(_xlfn.SWITCH(INDEX(Voortgang!$G$5:$G$504,MATCH($A18&amp;"|"&amp;TEXT(7,"00"),Voortgang!$M$5:$M$504,0)),"Gereed","G","Loopt","L","Geblokkeerd","B","Niet van toepassing","nvt","Niet gestart","-","-"),""))</f>
        <v/>
      </c>
      <c r="J18" s="33" t="str">
        <f aca="false">IF($A18="","",IFERROR(_xlfn.SWITCH(INDEX(Voortgang!$G$5:$G$504,MATCH($A18&amp;"|"&amp;TEXT(8,"00"),Voortgang!$M$5:$M$504,0)),"Gereed","G","Loopt","L","Geblokkeerd","B","Niet van toepassing","nvt","Niet gestart","-","-"),""))</f>
        <v/>
      </c>
      <c r="K18" s="33" t="str">
        <f aca="false">IF($A18="","",IFERROR(_xlfn.SWITCH(INDEX(Voortgang!$G$5:$G$504,MATCH($A18&amp;"|"&amp;TEXT(9,"00"),Voortgang!$M$5:$M$504,0)),"Gereed","G","Loopt","L","Geblokkeerd","B","Niet van toepassing","nvt","Niet gestart","-","-"),""))</f>
        <v/>
      </c>
      <c r="L18" s="33" t="str">
        <f aca="false">IF($A18="","",IFERROR(_xlfn.SWITCH(INDEX(Voortgang!$G$5:$G$504,MATCH($A18&amp;"|"&amp;TEXT(10,"00"),Voortgang!$M$5:$M$504,0)),"Gereed","G","Loopt","L","Geblokkeerd","B","Niet van toepassing","nvt","Niet gestart","-","-"),""))</f>
        <v/>
      </c>
      <c r="M18" s="33" t="str">
        <f aca="false">IF($A18="","",IFERROR(_xlfn.SWITCH(INDEX(Voortgang!$G$5:$G$504,MATCH($A18&amp;"|"&amp;TEXT(11,"00"),Voortgang!$M$5:$M$504,0)),"Gereed","G","Loopt","L","Geblokkeerd","B","Niet van toepassing","nvt","Niet gestart","-","-"),""))</f>
        <v/>
      </c>
      <c r="N18" s="33" t="str">
        <f aca="false">IF($A18="","",IFERROR(_xlfn.SWITCH(INDEX(Voortgang!$G$5:$G$504,MATCH($A18&amp;"|"&amp;TEXT(12,"00"),Voortgang!$M$5:$M$504,0)),"Gereed","G","Loopt","L","Geblokkeerd","B","Niet van toepassing","nvt","Niet gestart","-","-"),""))</f>
        <v/>
      </c>
      <c r="O18" s="33" t="str">
        <f aca="false">IF($A18="","",IFERROR(_xlfn.SWITCH(INDEX(Voortgang!$G$5:$G$504,MATCH($A18&amp;"|"&amp;TEXT(13,"00"),Voortgang!$M$5:$M$504,0)),"Gereed","G","Loopt","L","Geblokkeerd","B","Niet van toepassing","nvt","Niet gestart","-","-"),""))</f>
        <v/>
      </c>
      <c r="P18" s="33" t="str">
        <f aca="false">IF($A18="","",IFERROR(_xlfn.SWITCH(INDEX(Voortgang!$G$5:$G$504,MATCH($A18&amp;"|"&amp;TEXT(14,"00"),Voortgang!$M$5:$M$504,0)),"Gereed","G","Loopt","L","Geblokkeerd","B","Niet van toepassing","nvt","Niet gestart","-","-"),""))</f>
        <v/>
      </c>
      <c r="Q18" s="33" t="str">
        <f aca="false">IF($A18="","",IFERROR(_xlfn.SWITCH(INDEX(Voortgang!$G$5:$G$504,MATCH($A18&amp;"|"&amp;TEXT(15,"00"),Voortgang!$M$5:$M$504,0)),"Gereed","G","Loopt","L","Geblokkeerd","B","Niet van toepassing","nvt","Niet gestart","-","-"),""))</f>
        <v/>
      </c>
      <c r="R18" s="33" t="str">
        <f aca="false">IF($A18="","",IFERROR(_xlfn.SWITCH(INDEX(Voortgang!$G$5:$G$504,MATCH($A18&amp;"|"&amp;TEXT(16,"00"),Voortgang!$M$5:$M$504,0)),"Gereed","G","Loopt","L","Geblokkeerd","B","Niet van toepassing","nvt","Niet gestart","-","-"),""))</f>
        <v/>
      </c>
      <c r="S18" s="33" t="str">
        <f aca="false">IF($A18="","",IFERROR(_xlfn.SWITCH(INDEX(Voortgang!$G$5:$G$504,MATCH($A18&amp;"|"&amp;TEXT(17,"00"),Voortgang!$M$5:$M$504,0)),"Gereed","G","Loopt","L","Geblokkeerd","B","Niet van toepassing","nvt","Niet gestart","-","-"),""))</f>
        <v/>
      </c>
      <c r="T18" s="33" t="str">
        <f aca="false">IF($A18="","",IFERROR(_xlfn.SWITCH(INDEX(Voortgang!$G$5:$G$504,MATCH($A18&amp;"|"&amp;TEXT(18,"00"),Voortgang!$M$5:$M$504,0)),"Gereed","G","Loopt","L","Geblokkeerd","B","Niet van toepassing","nvt","Niet gestart","-","-"),""))</f>
        <v/>
      </c>
      <c r="U18" s="33" t="str">
        <f aca="false">IF($A18="","",IFERROR(_xlfn.SWITCH(INDEX(Voortgang!$G$5:$G$504,MATCH($A18&amp;"|"&amp;TEXT(19,"00"),Voortgang!$M$5:$M$504,0)),"Gereed","G","Loopt","L","Geblokkeerd","B","Niet van toepassing","nvt","Niet gestart","-","-"),""))</f>
        <v/>
      </c>
      <c r="V18" s="33" t="str">
        <f aca="false">IF($A18="","",IFERROR(_xlfn.SWITCH(INDEX(Voortgang!$G$5:$G$504,MATCH($A18&amp;"|"&amp;TEXT(20,"00"),Voortgang!$M$5:$M$504,0)),"Gereed","G","Loopt","L","Geblokkeerd","B","Niet van toepassing","nvt","Niet gestart","-","-"),""))</f>
        <v/>
      </c>
    </row>
    <row r="19" customFormat="false" ht="15" hidden="false" customHeight="false" outlineLevel="0" collapsed="false">
      <c r="A19" s="27" t="str">
        <f aca="false">IFERROR(IF(INDEX(Overzicht!$C$5:$C$44,15)="","",IF(INDEX(Overzicht!$C$5:$C$44,15)="Vastgoedontwikkelaar",INDEX(Overzicht!$A$5:$A$44,15),"")),"")</f>
        <v/>
      </c>
      <c r="B19" s="27" t="str">
        <f aca="false">IF($A19="","",INDEX(Overzicht!$B$5:$B$44,15))</f>
        <v/>
      </c>
      <c r="C19" s="33" t="str">
        <f aca="false">IF($A19="","",IFERROR(_xlfn.SWITCH(INDEX(Voortgang!$G$5:$G$504,MATCH($A19&amp;"|"&amp;TEXT(1,"00"),Voortgang!$M$5:$M$504,0)),"Gereed","G","Loopt","L","Geblokkeerd","B","Niet van toepassing","nvt","Niet gestart","-","-"),""))</f>
        <v/>
      </c>
      <c r="D19" s="33" t="str">
        <f aca="false">IF($A19="","",IFERROR(_xlfn.SWITCH(INDEX(Voortgang!$G$5:$G$504,MATCH($A19&amp;"|"&amp;TEXT(2,"00"),Voortgang!$M$5:$M$504,0)),"Gereed","G","Loopt","L","Geblokkeerd","B","Niet van toepassing","nvt","Niet gestart","-","-"),""))</f>
        <v/>
      </c>
      <c r="E19" s="33" t="str">
        <f aca="false">IF($A19="","",IFERROR(_xlfn.SWITCH(INDEX(Voortgang!$G$5:$G$504,MATCH($A19&amp;"|"&amp;TEXT(3,"00"),Voortgang!$M$5:$M$504,0)),"Gereed","G","Loopt","L","Geblokkeerd","B","Niet van toepassing","nvt","Niet gestart","-","-"),""))</f>
        <v/>
      </c>
      <c r="F19" s="33" t="str">
        <f aca="false">IF($A19="","",IFERROR(_xlfn.SWITCH(INDEX(Voortgang!$G$5:$G$504,MATCH($A19&amp;"|"&amp;TEXT(4,"00"),Voortgang!$M$5:$M$504,0)),"Gereed","G","Loopt","L","Geblokkeerd","B","Niet van toepassing","nvt","Niet gestart","-","-"),""))</f>
        <v/>
      </c>
      <c r="G19" s="33" t="str">
        <f aca="false">IF($A19="","",IFERROR(_xlfn.SWITCH(INDEX(Voortgang!$G$5:$G$504,MATCH($A19&amp;"|"&amp;TEXT(5,"00"),Voortgang!$M$5:$M$504,0)),"Gereed","G","Loopt","L","Geblokkeerd","B","Niet van toepassing","nvt","Niet gestart","-","-"),""))</f>
        <v/>
      </c>
      <c r="H19" s="33" t="str">
        <f aca="false">IF($A19="","",IFERROR(_xlfn.SWITCH(INDEX(Voortgang!$G$5:$G$504,MATCH($A19&amp;"|"&amp;TEXT(6,"00"),Voortgang!$M$5:$M$504,0)),"Gereed","G","Loopt","L","Geblokkeerd","B","Niet van toepassing","nvt","Niet gestart","-","-"),""))</f>
        <v/>
      </c>
      <c r="I19" s="33" t="str">
        <f aca="false">IF($A19="","",IFERROR(_xlfn.SWITCH(INDEX(Voortgang!$G$5:$G$504,MATCH($A19&amp;"|"&amp;TEXT(7,"00"),Voortgang!$M$5:$M$504,0)),"Gereed","G","Loopt","L","Geblokkeerd","B","Niet van toepassing","nvt","Niet gestart","-","-"),""))</f>
        <v/>
      </c>
      <c r="J19" s="33" t="str">
        <f aca="false">IF($A19="","",IFERROR(_xlfn.SWITCH(INDEX(Voortgang!$G$5:$G$504,MATCH($A19&amp;"|"&amp;TEXT(8,"00"),Voortgang!$M$5:$M$504,0)),"Gereed","G","Loopt","L","Geblokkeerd","B","Niet van toepassing","nvt","Niet gestart","-","-"),""))</f>
        <v/>
      </c>
      <c r="K19" s="33" t="str">
        <f aca="false">IF($A19="","",IFERROR(_xlfn.SWITCH(INDEX(Voortgang!$G$5:$G$504,MATCH($A19&amp;"|"&amp;TEXT(9,"00"),Voortgang!$M$5:$M$504,0)),"Gereed","G","Loopt","L","Geblokkeerd","B","Niet van toepassing","nvt","Niet gestart","-","-"),""))</f>
        <v/>
      </c>
      <c r="L19" s="33" t="str">
        <f aca="false">IF($A19="","",IFERROR(_xlfn.SWITCH(INDEX(Voortgang!$G$5:$G$504,MATCH($A19&amp;"|"&amp;TEXT(10,"00"),Voortgang!$M$5:$M$504,0)),"Gereed","G","Loopt","L","Geblokkeerd","B","Niet van toepassing","nvt","Niet gestart","-","-"),""))</f>
        <v/>
      </c>
      <c r="M19" s="33" t="str">
        <f aca="false">IF($A19="","",IFERROR(_xlfn.SWITCH(INDEX(Voortgang!$G$5:$G$504,MATCH($A19&amp;"|"&amp;TEXT(11,"00"),Voortgang!$M$5:$M$504,0)),"Gereed","G","Loopt","L","Geblokkeerd","B","Niet van toepassing","nvt","Niet gestart","-","-"),""))</f>
        <v/>
      </c>
      <c r="N19" s="33" t="str">
        <f aca="false">IF($A19="","",IFERROR(_xlfn.SWITCH(INDEX(Voortgang!$G$5:$G$504,MATCH($A19&amp;"|"&amp;TEXT(12,"00"),Voortgang!$M$5:$M$504,0)),"Gereed","G","Loopt","L","Geblokkeerd","B","Niet van toepassing","nvt","Niet gestart","-","-"),""))</f>
        <v/>
      </c>
      <c r="O19" s="33" t="str">
        <f aca="false">IF($A19="","",IFERROR(_xlfn.SWITCH(INDEX(Voortgang!$G$5:$G$504,MATCH($A19&amp;"|"&amp;TEXT(13,"00"),Voortgang!$M$5:$M$504,0)),"Gereed","G","Loopt","L","Geblokkeerd","B","Niet van toepassing","nvt","Niet gestart","-","-"),""))</f>
        <v/>
      </c>
      <c r="P19" s="33" t="str">
        <f aca="false">IF($A19="","",IFERROR(_xlfn.SWITCH(INDEX(Voortgang!$G$5:$G$504,MATCH($A19&amp;"|"&amp;TEXT(14,"00"),Voortgang!$M$5:$M$504,0)),"Gereed","G","Loopt","L","Geblokkeerd","B","Niet van toepassing","nvt","Niet gestart","-","-"),""))</f>
        <v/>
      </c>
      <c r="Q19" s="33" t="str">
        <f aca="false">IF($A19="","",IFERROR(_xlfn.SWITCH(INDEX(Voortgang!$G$5:$G$504,MATCH($A19&amp;"|"&amp;TEXT(15,"00"),Voortgang!$M$5:$M$504,0)),"Gereed","G","Loopt","L","Geblokkeerd","B","Niet van toepassing","nvt","Niet gestart","-","-"),""))</f>
        <v/>
      </c>
      <c r="R19" s="33" t="str">
        <f aca="false">IF($A19="","",IFERROR(_xlfn.SWITCH(INDEX(Voortgang!$G$5:$G$504,MATCH($A19&amp;"|"&amp;TEXT(16,"00"),Voortgang!$M$5:$M$504,0)),"Gereed","G","Loopt","L","Geblokkeerd","B","Niet van toepassing","nvt","Niet gestart","-","-"),""))</f>
        <v/>
      </c>
      <c r="S19" s="33" t="str">
        <f aca="false">IF($A19="","",IFERROR(_xlfn.SWITCH(INDEX(Voortgang!$G$5:$G$504,MATCH($A19&amp;"|"&amp;TEXT(17,"00"),Voortgang!$M$5:$M$504,0)),"Gereed","G","Loopt","L","Geblokkeerd","B","Niet van toepassing","nvt","Niet gestart","-","-"),""))</f>
        <v/>
      </c>
      <c r="T19" s="33" t="str">
        <f aca="false">IF($A19="","",IFERROR(_xlfn.SWITCH(INDEX(Voortgang!$G$5:$G$504,MATCH($A19&amp;"|"&amp;TEXT(18,"00"),Voortgang!$M$5:$M$504,0)),"Gereed","G","Loopt","L","Geblokkeerd","B","Niet van toepassing","nvt","Niet gestart","-","-"),""))</f>
        <v/>
      </c>
      <c r="U19" s="33" t="str">
        <f aca="false">IF($A19="","",IFERROR(_xlfn.SWITCH(INDEX(Voortgang!$G$5:$G$504,MATCH($A19&amp;"|"&amp;TEXT(19,"00"),Voortgang!$M$5:$M$504,0)),"Gereed","G","Loopt","L","Geblokkeerd","B","Niet van toepassing","nvt","Niet gestart","-","-"),""))</f>
        <v/>
      </c>
      <c r="V19" s="33" t="str">
        <f aca="false">IF($A19="","",IFERROR(_xlfn.SWITCH(INDEX(Voortgang!$G$5:$G$504,MATCH($A19&amp;"|"&amp;TEXT(20,"00"),Voortgang!$M$5:$M$504,0)),"Gereed","G","Loopt","L","Geblokkeerd","B","Niet van toepassing","nvt","Niet gestart","-","-"),""))</f>
        <v/>
      </c>
    </row>
    <row r="20" customFormat="false" ht="15" hidden="false" customHeight="false" outlineLevel="0" collapsed="false">
      <c r="A20" s="27" t="str">
        <f aca="false">IFERROR(IF(INDEX(Overzicht!$C$5:$C$44,16)="","",IF(INDEX(Overzicht!$C$5:$C$44,16)="Vastgoedontwikkelaar",INDEX(Overzicht!$A$5:$A$44,16),"")),"")</f>
        <v/>
      </c>
      <c r="B20" s="27" t="str">
        <f aca="false">IF($A20="","",INDEX(Overzicht!$B$5:$B$44,16))</f>
        <v/>
      </c>
      <c r="C20" s="33" t="str">
        <f aca="false">IF($A20="","",IFERROR(_xlfn.SWITCH(INDEX(Voortgang!$G$5:$G$504,MATCH($A20&amp;"|"&amp;TEXT(1,"00"),Voortgang!$M$5:$M$504,0)),"Gereed","G","Loopt","L","Geblokkeerd","B","Niet van toepassing","nvt","Niet gestart","-","-"),""))</f>
        <v/>
      </c>
      <c r="D20" s="33" t="str">
        <f aca="false">IF($A20="","",IFERROR(_xlfn.SWITCH(INDEX(Voortgang!$G$5:$G$504,MATCH($A20&amp;"|"&amp;TEXT(2,"00"),Voortgang!$M$5:$M$504,0)),"Gereed","G","Loopt","L","Geblokkeerd","B","Niet van toepassing","nvt","Niet gestart","-","-"),""))</f>
        <v/>
      </c>
      <c r="E20" s="33" t="str">
        <f aca="false">IF($A20="","",IFERROR(_xlfn.SWITCH(INDEX(Voortgang!$G$5:$G$504,MATCH($A20&amp;"|"&amp;TEXT(3,"00"),Voortgang!$M$5:$M$504,0)),"Gereed","G","Loopt","L","Geblokkeerd","B","Niet van toepassing","nvt","Niet gestart","-","-"),""))</f>
        <v/>
      </c>
      <c r="F20" s="33" t="str">
        <f aca="false">IF($A20="","",IFERROR(_xlfn.SWITCH(INDEX(Voortgang!$G$5:$G$504,MATCH($A20&amp;"|"&amp;TEXT(4,"00"),Voortgang!$M$5:$M$504,0)),"Gereed","G","Loopt","L","Geblokkeerd","B","Niet van toepassing","nvt","Niet gestart","-","-"),""))</f>
        <v/>
      </c>
      <c r="G20" s="33" t="str">
        <f aca="false">IF($A20="","",IFERROR(_xlfn.SWITCH(INDEX(Voortgang!$G$5:$G$504,MATCH($A20&amp;"|"&amp;TEXT(5,"00"),Voortgang!$M$5:$M$504,0)),"Gereed","G","Loopt","L","Geblokkeerd","B","Niet van toepassing","nvt","Niet gestart","-","-"),""))</f>
        <v/>
      </c>
      <c r="H20" s="33" t="str">
        <f aca="false">IF($A20="","",IFERROR(_xlfn.SWITCH(INDEX(Voortgang!$G$5:$G$504,MATCH($A20&amp;"|"&amp;TEXT(6,"00"),Voortgang!$M$5:$M$504,0)),"Gereed","G","Loopt","L","Geblokkeerd","B","Niet van toepassing","nvt","Niet gestart","-","-"),""))</f>
        <v/>
      </c>
      <c r="I20" s="33" t="str">
        <f aca="false">IF($A20="","",IFERROR(_xlfn.SWITCH(INDEX(Voortgang!$G$5:$G$504,MATCH($A20&amp;"|"&amp;TEXT(7,"00"),Voortgang!$M$5:$M$504,0)),"Gereed","G","Loopt","L","Geblokkeerd","B","Niet van toepassing","nvt","Niet gestart","-","-"),""))</f>
        <v/>
      </c>
      <c r="J20" s="33" t="str">
        <f aca="false">IF($A20="","",IFERROR(_xlfn.SWITCH(INDEX(Voortgang!$G$5:$G$504,MATCH($A20&amp;"|"&amp;TEXT(8,"00"),Voortgang!$M$5:$M$504,0)),"Gereed","G","Loopt","L","Geblokkeerd","B","Niet van toepassing","nvt","Niet gestart","-","-"),""))</f>
        <v/>
      </c>
      <c r="K20" s="33" t="str">
        <f aca="false">IF($A20="","",IFERROR(_xlfn.SWITCH(INDEX(Voortgang!$G$5:$G$504,MATCH($A20&amp;"|"&amp;TEXT(9,"00"),Voortgang!$M$5:$M$504,0)),"Gereed","G","Loopt","L","Geblokkeerd","B","Niet van toepassing","nvt","Niet gestart","-","-"),""))</f>
        <v/>
      </c>
      <c r="L20" s="33" t="str">
        <f aca="false">IF($A20="","",IFERROR(_xlfn.SWITCH(INDEX(Voortgang!$G$5:$G$504,MATCH($A20&amp;"|"&amp;TEXT(10,"00"),Voortgang!$M$5:$M$504,0)),"Gereed","G","Loopt","L","Geblokkeerd","B","Niet van toepassing","nvt","Niet gestart","-","-"),""))</f>
        <v/>
      </c>
      <c r="M20" s="33" t="str">
        <f aca="false">IF($A20="","",IFERROR(_xlfn.SWITCH(INDEX(Voortgang!$G$5:$G$504,MATCH($A20&amp;"|"&amp;TEXT(11,"00"),Voortgang!$M$5:$M$504,0)),"Gereed","G","Loopt","L","Geblokkeerd","B","Niet van toepassing","nvt","Niet gestart","-","-"),""))</f>
        <v/>
      </c>
      <c r="N20" s="33" t="str">
        <f aca="false">IF($A20="","",IFERROR(_xlfn.SWITCH(INDEX(Voortgang!$G$5:$G$504,MATCH($A20&amp;"|"&amp;TEXT(12,"00"),Voortgang!$M$5:$M$504,0)),"Gereed","G","Loopt","L","Geblokkeerd","B","Niet van toepassing","nvt","Niet gestart","-","-"),""))</f>
        <v/>
      </c>
      <c r="O20" s="33" t="str">
        <f aca="false">IF($A20="","",IFERROR(_xlfn.SWITCH(INDEX(Voortgang!$G$5:$G$504,MATCH($A20&amp;"|"&amp;TEXT(13,"00"),Voortgang!$M$5:$M$504,0)),"Gereed","G","Loopt","L","Geblokkeerd","B","Niet van toepassing","nvt","Niet gestart","-","-"),""))</f>
        <v/>
      </c>
      <c r="P20" s="33" t="str">
        <f aca="false">IF($A20="","",IFERROR(_xlfn.SWITCH(INDEX(Voortgang!$G$5:$G$504,MATCH($A20&amp;"|"&amp;TEXT(14,"00"),Voortgang!$M$5:$M$504,0)),"Gereed","G","Loopt","L","Geblokkeerd","B","Niet van toepassing","nvt","Niet gestart","-","-"),""))</f>
        <v/>
      </c>
      <c r="Q20" s="33" t="str">
        <f aca="false">IF($A20="","",IFERROR(_xlfn.SWITCH(INDEX(Voortgang!$G$5:$G$504,MATCH($A20&amp;"|"&amp;TEXT(15,"00"),Voortgang!$M$5:$M$504,0)),"Gereed","G","Loopt","L","Geblokkeerd","B","Niet van toepassing","nvt","Niet gestart","-","-"),""))</f>
        <v/>
      </c>
      <c r="R20" s="33" t="str">
        <f aca="false">IF($A20="","",IFERROR(_xlfn.SWITCH(INDEX(Voortgang!$G$5:$G$504,MATCH($A20&amp;"|"&amp;TEXT(16,"00"),Voortgang!$M$5:$M$504,0)),"Gereed","G","Loopt","L","Geblokkeerd","B","Niet van toepassing","nvt","Niet gestart","-","-"),""))</f>
        <v/>
      </c>
      <c r="S20" s="33" t="str">
        <f aca="false">IF($A20="","",IFERROR(_xlfn.SWITCH(INDEX(Voortgang!$G$5:$G$504,MATCH($A20&amp;"|"&amp;TEXT(17,"00"),Voortgang!$M$5:$M$504,0)),"Gereed","G","Loopt","L","Geblokkeerd","B","Niet van toepassing","nvt","Niet gestart","-","-"),""))</f>
        <v/>
      </c>
      <c r="T20" s="33" t="str">
        <f aca="false">IF($A20="","",IFERROR(_xlfn.SWITCH(INDEX(Voortgang!$G$5:$G$504,MATCH($A20&amp;"|"&amp;TEXT(18,"00"),Voortgang!$M$5:$M$504,0)),"Gereed","G","Loopt","L","Geblokkeerd","B","Niet van toepassing","nvt","Niet gestart","-","-"),""))</f>
        <v/>
      </c>
      <c r="U20" s="33" t="str">
        <f aca="false">IF($A20="","",IFERROR(_xlfn.SWITCH(INDEX(Voortgang!$G$5:$G$504,MATCH($A20&amp;"|"&amp;TEXT(19,"00"),Voortgang!$M$5:$M$504,0)),"Gereed","G","Loopt","L","Geblokkeerd","B","Niet van toepassing","nvt","Niet gestart","-","-"),""))</f>
        <v/>
      </c>
      <c r="V20" s="33" t="str">
        <f aca="false">IF($A20="","",IFERROR(_xlfn.SWITCH(INDEX(Voortgang!$G$5:$G$504,MATCH($A20&amp;"|"&amp;TEXT(20,"00"),Voortgang!$M$5:$M$504,0)),"Gereed","G","Loopt","L","Geblokkeerd","B","Niet van toepassing","nvt","Niet gestart","-","-"),""))</f>
        <v/>
      </c>
    </row>
    <row r="21" customFormat="false" ht="15" hidden="false" customHeight="false" outlineLevel="0" collapsed="false">
      <c r="A21" s="27" t="str">
        <f aca="false">IFERROR(IF(INDEX(Overzicht!$C$5:$C$44,17)="","",IF(INDEX(Overzicht!$C$5:$C$44,17)="Vastgoedontwikkelaar",INDEX(Overzicht!$A$5:$A$44,17),"")),"")</f>
        <v/>
      </c>
      <c r="B21" s="27" t="str">
        <f aca="false">IF($A21="","",INDEX(Overzicht!$B$5:$B$44,17))</f>
        <v/>
      </c>
      <c r="C21" s="33" t="str">
        <f aca="false">IF($A21="","",IFERROR(_xlfn.SWITCH(INDEX(Voortgang!$G$5:$G$504,MATCH($A21&amp;"|"&amp;TEXT(1,"00"),Voortgang!$M$5:$M$504,0)),"Gereed","G","Loopt","L","Geblokkeerd","B","Niet van toepassing","nvt","Niet gestart","-","-"),""))</f>
        <v/>
      </c>
      <c r="D21" s="33" t="str">
        <f aca="false">IF($A21="","",IFERROR(_xlfn.SWITCH(INDEX(Voortgang!$G$5:$G$504,MATCH($A21&amp;"|"&amp;TEXT(2,"00"),Voortgang!$M$5:$M$504,0)),"Gereed","G","Loopt","L","Geblokkeerd","B","Niet van toepassing","nvt","Niet gestart","-","-"),""))</f>
        <v/>
      </c>
      <c r="E21" s="33" t="str">
        <f aca="false">IF($A21="","",IFERROR(_xlfn.SWITCH(INDEX(Voortgang!$G$5:$G$504,MATCH($A21&amp;"|"&amp;TEXT(3,"00"),Voortgang!$M$5:$M$504,0)),"Gereed","G","Loopt","L","Geblokkeerd","B","Niet van toepassing","nvt","Niet gestart","-","-"),""))</f>
        <v/>
      </c>
      <c r="F21" s="33" t="str">
        <f aca="false">IF($A21="","",IFERROR(_xlfn.SWITCH(INDEX(Voortgang!$G$5:$G$504,MATCH($A21&amp;"|"&amp;TEXT(4,"00"),Voortgang!$M$5:$M$504,0)),"Gereed","G","Loopt","L","Geblokkeerd","B","Niet van toepassing","nvt","Niet gestart","-","-"),""))</f>
        <v/>
      </c>
      <c r="G21" s="33" t="str">
        <f aca="false">IF($A21="","",IFERROR(_xlfn.SWITCH(INDEX(Voortgang!$G$5:$G$504,MATCH($A21&amp;"|"&amp;TEXT(5,"00"),Voortgang!$M$5:$M$504,0)),"Gereed","G","Loopt","L","Geblokkeerd","B","Niet van toepassing","nvt","Niet gestart","-","-"),""))</f>
        <v/>
      </c>
      <c r="H21" s="33" t="str">
        <f aca="false">IF($A21="","",IFERROR(_xlfn.SWITCH(INDEX(Voortgang!$G$5:$G$504,MATCH($A21&amp;"|"&amp;TEXT(6,"00"),Voortgang!$M$5:$M$504,0)),"Gereed","G","Loopt","L","Geblokkeerd","B","Niet van toepassing","nvt","Niet gestart","-","-"),""))</f>
        <v/>
      </c>
      <c r="I21" s="33" t="str">
        <f aca="false">IF($A21="","",IFERROR(_xlfn.SWITCH(INDEX(Voortgang!$G$5:$G$504,MATCH($A21&amp;"|"&amp;TEXT(7,"00"),Voortgang!$M$5:$M$504,0)),"Gereed","G","Loopt","L","Geblokkeerd","B","Niet van toepassing","nvt","Niet gestart","-","-"),""))</f>
        <v/>
      </c>
      <c r="J21" s="33" t="str">
        <f aca="false">IF($A21="","",IFERROR(_xlfn.SWITCH(INDEX(Voortgang!$G$5:$G$504,MATCH($A21&amp;"|"&amp;TEXT(8,"00"),Voortgang!$M$5:$M$504,0)),"Gereed","G","Loopt","L","Geblokkeerd","B","Niet van toepassing","nvt","Niet gestart","-","-"),""))</f>
        <v/>
      </c>
      <c r="K21" s="33" t="str">
        <f aca="false">IF($A21="","",IFERROR(_xlfn.SWITCH(INDEX(Voortgang!$G$5:$G$504,MATCH($A21&amp;"|"&amp;TEXT(9,"00"),Voortgang!$M$5:$M$504,0)),"Gereed","G","Loopt","L","Geblokkeerd","B","Niet van toepassing","nvt","Niet gestart","-","-"),""))</f>
        <v/>
      </c>
      <c r="L21" s="33" t="str">
        <f aca="false">IF($A21="","",IFERROR(_xlfn.SWITCH(INDEX(Voortgang!$G$5:$G$504,MATCH($A21&amp;"|"&amp;TEXT(10,"00"),Voortgang!$M$5:$M$504,0)),"Gereed","G","Loopt","L","Geblokkeerd","B","Niet van toepassing","nvt","Niet gestart","-","-"),""))</f>
        <v/>
      </c>
      <c r="M21" s="33" t="str">
        <f aca="false">IF($A21="","",IFERROR(_xlfn.SWITCH(INDEX(Voortgang!$G$5:$G$504,MATCH($A21&amp;"|"&amp;TEXT(11,"00"),Voortgang!$M$5:$M$504,0)),"Gereed","G","Loopt","L","Geblokkeerd","B","Niet van toepassing","nvt","Niet gestart","-","-"),""))</f>
        <v/>
      </c>
      <c r="N21" s="33" t="str">
        <f aca="false">IF($A21="","",IFERROR(_xlfn.SWITCH(INDEX(Voortgang!$G$5:$G$504,MATCH($A21&amp;"|"&amp;TEXT(12,"00"),Voortgang!$M$5:$M$504,0)),"Gereed","G","Loopt","L","Geblokkeerd","B","Niet van toepassing","nvt","Niet gestart","-","-"),""))</f>
        <v/>
      </c>
      <c r="O21" s="33" t="str">
        <f aca="false">IF($A21="","",IFERROR(_xlfn.SWITCH(INDEX(Voortgang!$G$5:$G$504,MATCH($A21&amp;"|"&amp;TEXT(13,"00"),Voortgang!$M$5:$M$504,0)),"Gereed","G","Loopt","L","Geblokkeerd","B","Niet van toepassing","nvt","Niet gestart","-","-"),""))</f>
        <v/>
      </c>
      <c r="P21" s="33" t="str">
        <f aca="false">IF($A21="","",IFERROR(_xlfn.SWITCH(INDEX(Voortgang!$G$5:$G$504,MATCH($A21&amp;"|"&amp;TEXT(14,"00"),Voortgang!$M$5:$M$504,0)),"Gereed","G","Loopt","L","Geblokkeerd","B","Niet van toepassing","nvt","Niet gestart","-","-"),""))</f>
        <v/>
      </c>
      <c r="Q21" s="33" t="str">
        <f aca="false">IF($A21="","",IFERROR(_xlfn.SWITCH(INDEX(Voortgang!$G$5:$G$504,MATCH($A21&amp;"|"&amp;TEXT(15,"00"),Voortgang!$M$5:$M$504,0)),"Gereed","G","Loopt","L","Geblokkeerd","B","Niet van toepassing","nvt","Niet gestart","-","-"),""))</f>
        <v/>
      </c>
      <c r="R21" s="33" t="str">
        <f aca="false">IF($A21="","",IFERROR(_xlfn.SWITCH(INDEX(Voortgang!$G$5:$G$504,MATCH($A21&amp;"|"&amp;TEXT(16,"00"),Voortgang!$M$5:$M$504,0)),"Gereed","G","Loopt","L","Geblokkeerd","B","Niet van toepassing","nvt","Niet gestart","-","-"),""))</f>
        <v/>
      </c>
      <c r="S21" s="33" t="str">
        <f aca="false">IF($A21="","",IFERROR(_xlfn.SWITCH(INDEX(Voortgang!$G$5:$G$504,MATCH($A21&amp;"|"&amp;TEXT(17,"00"),Voortgang!$M$5:$M$504,0)),"Gereed","G","Loopt","L","Geblokkeerd","B","Niet van toepassing","nvt","Niet gestart","-","-"),""))</f>
        <v/>
      </c>
      <c r="T21" s="33" t="str">
        <f aca="false">IF($A21="","",IFERROR(_xlfn.SWITCH(INDEX(Voortgang!$G$5:$G$504,MATCH($A21&amp;"|"&amp;TEXT(18,"00"),Voortgang!$M$5:$M$504,0)),"Gereed","G","Loopt","L","Geblokkeerd","B","Niet van toepassing","nvt","Niet gestart","-","-"),""))</f>
        <v/>
      </c>
      <c r="U21" s="33" t="str">
        <f aca="false">IF($A21="","",IFERROR(_xlfn.SWITCH(INDEX(Voortgang!$G$5:$G$504,MATCH($A21&amp;"|"&amp;TEXT(19,"00"),Voortgang!$M$5:$M$504,0)),"Gereed","G","Loopt","L","Geblokkeerd","B","Niet van toepassing","nvt","Niet gestart","-","-"),""))</f>
        <v/>
      </c>
      <c r="V21" s="33" t="str">
        <f aca="false">IF($A21="","",IFERROR(_xlfn.SWITCH(INDEX(Voortgang!$G$5:$G$504,MATCH($A21&amp;"|"&amp;TEXT(20,"00"),Voortgang!$M$5:$M$504,0)),"Gereed","G","Loopt","L","Geblokkeerd","B","Niet van toepassing","nvt","Niet gestart","-","-"),""))</f>
        <v/>
      </c>
    </row>
    <row r="22" customFormat="false" ht="15" hidden="false" customHeight="false" outlineLevel="0" collapsed="false">
      <c r="A22" s="27" t="str">
        <f aca="false">IFERROR(IF(INDEX(Overzicht!$C$5:$C$44,18)="","",IF(INDEX(Overzicht!$C$5:$C$44,18)="Vastgoedontwikkelaar",INDEX(Overzicht!$A$5:$A$44,18),"")),"")</f>
        <v/>
      </c>
      <c r="B22" s="27" t="str">
        <f aca="false">IF($A22="","",INDEX(Overzicht!$B$5:$B$44,18))</f>
        <v/>
      </c>
      <c r="C22" s="33" t="str">
        <f aca="false">IF($A22="","",IFERROR(_xlfn.SWITCH(INDEX(Voortgang!$G$5:$G$504,MATCH($A22&amp;"|"&amp;TEXT(1,"00"),Voortgang!$M$5:$M$504,0)),"Gereed","G","Loopt","L","Geblokkeerd","B","Niet van toepassing","nvt","Niet gestart","-","-"),""))</f>
        <v/>
      </c>
      <c r="D22" s="33" t="str">
        <f aca="false">IF($A22="","",IFERROR(_xlfn.SWITCH(INDEX(Voortgang!$G$5:$G$504,MATCH($A22&amp;"|"&amp;TEXT(2,"00"),Voortgang!$M$5:$M$504,0)),"Gereed","G","Loopt","L","Geblokkeerd","B","Niet van toepassing","nvt","Niet gestart","-","-"),""))</f>
        <v/>
      </c>
      <c r="E22" s="33" t="str">
        <f aca="false">IF($A22="","",IFERROR(_xlfn.SWITCH(INDEX(Voortgang!$G$5:$G$504,MATCH($A22&amp;"|"&amp;TEXT(3,"00"),Voortgang!$M$5:$M$504,0)),"Gereed","G","Loopt","L","Geblokkeerd","B","Niet van toepassing","nvt","Niet gestart","-","-"),""))</f>
        <v/>
      </c>
      <c r="F22" s="33" t="str">
        <f aca="false">IF($A22="","",IFERROR(_xlfn.SWITCH(INDEX(Voortgang!$G$5:$G$504,MATCH($A22&amp;"|"&amp;TEXT(4,"00"),Voortgang!$M$5:$M$504,0)),"Gereed","G","Loopt","L","Geblokkeerd","B","Niet van toepassing","nvt","Niet gestart","-","-"),""))</f>
        <v/>
      </c>
      <c r="G22" s="33" t="str">
        <f aca="false">IF($A22="","",IFERROR(_xlfn.SWITCH(INDEX(Voortgang!$G$5:$G$504,MATCH($A22&amp;"|"&amp;TEXT(5,"00"),Voortgang!$M$5:$M$504,0)),"Gereed","G","Loopt","L","Geblokkeerd","B","Niet van toepassing","nvt","Niet gestart","-","-"),""))</f>
        <v/>
      </c>
      <c r="H22" s="33" t="str">
        <f aca="false">IF($A22="","",IFERROR(_xlfn.SWITCH(INDEX(Voortgang!$G$5:$G$504,MATCH($A22&amp;"|"&amp;TEXT(6,"00"),Voortgang!$M$5:$M$504,0)),"Gereed","G","Loopt","L","Geblokkeerd","B","Niet van toepassing","nvt","Niet gestart","-","-"),""))</f>
        <v/>
      </c>
      <c r="I22" s="33" t="str">
        <f aca="false">IF($A22="","",IFERROR(_xlfn.SWITCH(INDEX(Voortgang!$G$5:$G$504,MATCH($A22&amp;"|"&amp;TEXT(7,"00"),Voortgang!$M$5:$M$504,0)),"Gereed","G","Loopt","L","Geblokkeerd","B","Niet van toepassing","nvt","Niet gestart","-","-"),""))</f>
        <v/>
      </c>
      <c r="J22" s="33" t="str">
        <f aca="false">IF($A22="","",IFERROR(_xlfn.SWITCH(INDEX(Voortgang!$G$5:$G$504,MATCH($A22&amp;"|"&amp;TEXT(8,"00"),Voortgang!$M$5:$M$504,0)),"Gereed","G","Loopt","L","Geblokkeerd","B","Niet van toepassing","nvt","Niet gestart","-","-"),""))</f>
        <v/>
      </c>
      <c r="K22" s="33" t="str">
        <f aca="false">IF($A22="","",IFERROR(_xlfn.SWITCH(INDEX(Voortgang!$G$5:$G$504,MATCH($A22&amp;"|"&amp;TEXT(9,"00"),Voortgang!$M$5:$M$504,0)),"Gereed","G","Loopt","L","Geblokkeerd","B","Niet van toepassing","nvt","Niet gestart","-","-"),""))</f>
        <v/>
      </c>
      <c r="L22" s="33" t="str">
        <f aca="false">IF($A22="","",IFERROR(_xlfn.SWITCH(INDEX(Voortgang!$G$5:$G$504,MATCH($A22&amp;"|"&amp;TEXT(10,"00"),Voortgang!$M$5:$M$504,0)),"Gereed","G","Loopt","L","Geblokkeerd","B","Niet van toepassing","nvt","Niet gestart","-","-"),""))</f>
        <v/>
      </c>
      <c r="M22" s="33" t="str">
        <f aca="false">IF($A22="","",IFERROR(_xlfn.SWITCH(INDEX(Voortgang!$G$5:$G$504,MATCH($A22&amp;"|"&amp;TEXT(11,"00"),Voortgang!$M$5:$M$504,0)),"Gereed","G","Loopt","L","Geblokkeerd","B","Niet van toepassing","nvt","Niet gestart","-","-"),""))</f>
        <v/>
      </c>
      <c r="N22" s="33" t="str">
        <f aca="false">IF($A22="","",IFERROR(_xlfn.SWITCH(INDEX(Voortgang!$G$5:$G$504,MATCH($A22&amp;"|"&amp;TEXT(12,"00"),Voortgang!$M$5:$M$504,0)),"Gereed","G","Loopt","L","Geblokkeerd","B","Niet van toepassing","nvt","Niet gestart","-","-"),""))</f>
        <v/>
      </c>
      <c r="O22" s="33" t="str">
        <f aca="false">IF($A22="","",IFERROR(_xlfn.SWITCH(INDEX(Voortgang!$G$5:$G$504,MATCH($A22&amp;"|"&amp;TEXT(13,"00"),Voortgang!$M$5:$M$504,0)),"Gereed","G","Loopt","L","Geblokkeerd","B","Niet van toepassing","nvt","Niet gestart","-","-"),""))</f>
        <v/>
      </c>
      <c r="P22" s="33" t="str">
        <f aca="false">IF($A22="","",IFERROR(_xlfn.SWITCH(INDEX(Voortgang!$G$5:$G$504,MATCH($A22&amp;"|"&amp;TEXT(14,"00"),Voortgang!$M$5:$M$504,0)),"Gereed","G","Loopt","L","Geblokkeerd","B","Niet van toepassing","nvt","Niet gestart","-","-"),""))</f>
        <v/>
      </c>
      <c r="Q22" s="33" t="str">
        <f aca="false">IF($A22="","",IFERROR(_xlfn.SWITCH(INDEX(Voortgang!$G$5:$G$504,MATCH($A22&amp;"|"&amp;TEXT(15,"00"),Voortgang!$M$5:$M$504,0)),"Gereed","G","Loopt","L","Geblokkeerd","B","Niet van toepassing","nvt","Niet gestart","-","-"),""))</f>
        <v/>
      </c>
      <c r="R22" s="33" t="str">
        <f aca="false">IF($A22="","",IFERROR(_xlfn.SWITCH(INDEX(Voortgang!$G$5:$G$504,MATCH($A22&amp;"|"&amp;TEXT(16,"00"),Voortgang!$M$5:$M$504,0)),"Gereed","G","Loopt","L","Geblokkeerd","B","Niet van toepassing","nvt","Niet gestart","-","-"),""))</f>
        <v/>
      </c>
      <c r="S22" s="33" t="str">
        <f aca="false">IF($A22="","",IFERROR(_xlfn.SWITCH(INDEX(Voortgang!$G$5:$G$504,MATCH($A22&amp;"|"&amp;TEXT(17,"00"),Voortgang!$M$5:$M$504,0)),"Gereed","G","Loopt","L","Geblokkeerd","B","Niet van toepassing","nvt","Niet gestart","-","-"),""))</f>
        <v/>
      </c>
      <c r="T22" s="33" t="str">
        <f aca="false">IF($A22="","",IFERROR(_xlfn.SWITCH(INDEX(Voortgang!$G$5:$G$504,MATCH($A22&amp;"|"&amp;TEXT(18,"00"),Voortgang!$M$5:$M$504,0)),"Gereed","G","Loopt","L","Geblokkeerd","B","Niet van toepassing","nvt","Niet gestart","-","-"),""))</f>
        <v/>
      </c>
      <c r="U22" s="33" t="str">
        <f aca="false">IF($A22="","",IFERROR(_xlfn.SWITCH(INDEX(Voortgang!$G$5:$G$504,MATCH($A22&amp;"|"&amp;TEXT(19,"00"),Voortgang!$M$5:$M$504,0)),"Gereed","G","Loopt","L","Geblokkeerd","B","Niet van toepassing","nvt","Niet gestart","-","-"),""))</f>
        <v/>
      </c>
      <c r="V22" s="33" t="str">
        <f aca="false">IF($A22="","",IFERROR(_xlfn.SWITCH(INDEX(Voortgang!$G$5:$G$504,MATCH($A22&amp;"|"&amp;TEXT(20,"00"),Voortgang!$M$5:$M$504,0)),"Gereed","G","Loopt","L","Geblokkeerd","B","Niet van toepassing","nvt","Niet gestart","-","-"),""))</f>
        <v/>
      </c>
    </row>
    <row r="23" customFormat="false" ht="15" hidden="false" customHeight="false" outlineLevel="0" collapsed="false">
      <c r="A23" s="27" t="str">
        <f aca="false">IFERROR(IF(INDEX(Overzicht!$C$5:$C$44,19)="","",IF(INDEX(Overzicht!$C$5:$C$44,19)="Vastgoedontwikkelaar",INDEX(Overzicht!$A$5:$A$44,19),"")),"")</f>
        <v/>
      </c>
      <c r="B23" s="27" t="str">
        <f aca="false">IF($A23="","",INDEX(Overzicht!$B$5:$B$44,19))</f>
        <v/>
      </c>
      <c r="C23" s="33" t="str">
        <f aca="false">IF($A23="","",IFERROR(_xlfn.SWITCH(INDEX(Voortgang!$G$5:$G$504,MATCH($A23&amp;"|"&amp;TEXT(1,"00"),Voortgang!$M$5:$M$504,0)),"Gereed","G","Loopt","L","Geblokkeerd","B","Niet van toepassing","nvt","Niet gestart","-","-"),""))</f>
        <v/>
      </c>
      <c r="D23" s="33" t="str">
        <f aca="false">IF($A23="","",IFERROR(_xlfn.SWITCH(INDEX(Voortgang!$G$5:$G$504,MATCH($A23&amp;"|"&amp;TEXT(2,"00"),Voortgang!$M$5:$M$504,0)),"Gereed","G","Loopt","L","Geblokkeerd","B","Niet van toepassing","nvt","Niet gestart","-","-"),""))</f>
        <v/>
      </c>
      <c r="E23" s="33" t="str">
        <f aca="false">IF($A23="","",IFERROR(_xlfn.SWITCH(INDEX(Voortgang!$G$5:$G$504,MATCH($A23&amp;"|"&amp;TEXT(3,"00"),Voortgang!$M$5:$M$504,0)),"Gereed","G","Loopt","L","Geblokkeerd","B","Niet van toepassing","nvt","Niet gestart","-","-"),""))</f>
        <v/>
      </c>
      <c r="F23" s="33" t="str">
        <f aca="false">IF($A23="","",IFERROR(_xlfn.SWITCH(INDEX(Voortgang!$G$5:$G$504,MATCH($A23&amp;"|"&amp;TEXT(4,"00"),Voortgang!$M$5:$M$504,0)),"Gereed","G","Loopt","L","Geblokkeerd","B","Niet van toepassing","nvt","Niet gestart","-","-"),""))</f>
        <v/>
      </c>
      <c r="G23" s="33" t="str">
        <f aca="false">IF($A23="","",IFERROR(_xlfn.SWITCH(INDEX(Voortgang!$G$5:$G$504,MATCH($A23&amp;"|"&amp;TEXT(5,"00"),Voortgang!$M$5:$M$504,0)),"Gereed","G","Loopt","L","Geblokkeerd","B","Niet van toepassing","nvt","Niet gestart","-","-"),""))</f>
        <v/>
      </c>
      <c r="H23" s="33" t="str">
        <f aca="false">IF($A23="","",IFERROR(_xlfn.SWITCH(INDEX(Voortgang!$G$5:$G$504,MATCH($A23&amp;"|"&amp;TEXT(6,"00"),Voortgang!$M$5:$M$504,0)),"Gereed","G","Loopt","L","Geblokkeerd","B","Niet van toepassing","nvt","Niet gestart","-","-"),""))</f>
        <v/>
      </c>
      <c r="I23" s="33" t="str">
        <f aca="false">IF($A23="","",IFERROR(_xlfn.SWITCH(INDEX(Voortgang!$G$5:$G$504,MATCH($A23&amp;"|"&amp;TEXT(7,"00"),Voortgang!$M$5:$M$504,0)),"Gereed","G","Loopt","L","Geblokkeerd","B","Niet van toepassing","nvt","Niet gestart","-","-"),""))</f>
        <v/>
      </c>
      <c r="J23" s="33" t="str">
        <f aca="false">IF($A23="","",IFERROR(_xlfn.SWITCH(INDEX(Voortgang!$G$5:$G$504,MATCH($A23&amp;"|"&amp;TEXT(8,"00"),Voortgang!$M$5:$M$504,0)),"Gereed","G","Loopt","L","Geblokkeerd","B","Niet van toepassing","nvt","Niet gestart","-","-"),""))</f>
        <v/>
      </c>
      <c r="K23" s="33" t="str">
        <f aca="false">IF($A23="","",IFERROR(_xlfn.SWITCH(INDEX(Voortgang!$G$5:$G$504,MATCH($A23&amp;"|"&amp;TEXT(9,"00"),Voortgang!$M$5:$M$504,0)),"Gereed","G","Loopt","L","Geblokkeerd","B","Niet van toepassing","nvt","Niet gestart","-","-"),""))</f>
        <v/>
      </c>
      <c r="L23" s="33" t="str">
        <f aca="false">IF($A23="","",IFERROR(_xlfn.SWITCH(INDEX(Voortgang!$G$5:$G$504,MATCH($A23&amp;"|"&amp;TEXT(10,"00"),Voortgang!$M$5:$M$504,0)),"Gereed","G","Loopt","L","Geblokkeerd","B","Niet van toepassing","nvt","Niet gestart","-","-"),""))</f>
        <v/>
      </c>
      <c r="M23" s="33" t="str">
        <f aca="false">IF($A23="","",IFERROR(_xlfn.SWITCH(INDEX(Voortgang!$G$5:$G$504,MATCH($A23&amp;"|"&amp;TEXT(11,"00"),Voortgang!$M$5:$M$504,0)),"Gereed","G","Loopt","L","Geblokkeerd","B","Niet van toepassing","nvt","Niet gestart","-","-"),""))</f>
        <v/>
      </c>
      <c r="N23" s="33" t="str">
        <f aca="false">IF($A23="","",IFERROR(_xlfn.SWITCH(INDEX(Voortgang!$G$5:$G$504,MATCH($A23&amp;"|"&amp;TEXT(12,"00"),Voortgang!$M$5:$M$504,0)),"Gereed","G","Loopt","L","Geblokkeerd","B","Niet van toepassing","nvt","Niet gestart","-","-"),""))</f>
        <v/>
      </c>
      <c r="O23" s="33" t="str">
        <f aca="false">IF($A23="","",IFERROR(_xlfn.SWITCH(INDEX(Voortgang!$G$5:$G$504,MATCH($A23&amp;"|"&amp;TEXT(13,"00"),Voortgang!$M$5:$M$504,0)),"Gereed","G","Loopt","L","Geblokkeerd","B","Niet van toepassing","nvt","Niet gestart","-","-"),""))</f>
        <v/>
      </c>
      <c r="P23" s="33" t="str">
        <f aca="false">IF($A23="","",IFERROR(_xlfn.SWITCH(INDEX(Voortgang!$G$5:$G$504,MATCH($A23&amp;"|"&amp;TEXT(14,"00"),Voortgang!$M$5:$M$504,0)),"Gereed","G","Loopt","L","Geblokkeerd","B","Niet van toepassing","nvt","Niet gestart","-","-"),""))</f>
        <v/>
      </c>
      <c r="Q23" s="33" t="str">
        <f aca="false">IF($A23="","",IFERROR(_xlfn.SWITCH(INDEX(Voortgang!$G$5:$G$504,MATCH($A23&amp;"|"&amp;TEXT(15,"00"),Voortgang!$M$5:$M$504,0)),"Gereed","G","Loopt","L","Geblokkeerd","B","Niet van toepassing","nvt","Niet gestart","-","-"),""))</f>
        <v/>
      </c>
      <c r="R23" s="33" t="str">
        <f aca="false">IF($A23="","",IFERROR(_xlfn.SWITCH(INDEX(Voortgang!$G$5:$G$504,MATCH($A23&amp;"|"&amp;TEXT(16,"00"),Voortgang!$M$5:$M$504,0)),"Gereed","G","Loopt","L","Geblokkeerd","B","Niet van toepassing","nvt","Niet gestart","-","-"),""))</f>
        <v/>
      </c>
      <c r="S23" s="33" t="str">
        <f aca="false">IF($A23="","",IFERROR(_xlfn.SWITCH(INDEX(Voortgang!$G$5:$G$504,MATCH($A23&amp;"|"&amp;TEXT(17,"00"),Voortgang!$M$5:$M$504,0)),"Gereed","G","Loopt","L","Geblokkeerd","B","Niet van toepassing","nvt","Niet gestart","-","-"),""))</f>
        <v/>
      </c>
      <c r="T23" s="33" t="str">
        <f aca="false">IF($A23="","",IFERROR(_xlfn.SWITCH(INDEX(Voortgang!$G$5:$G$504,MATCH($A23&amp;"|"&amp;TEXT(18,"00"),Voortgang!$M$5:$M$504,0)),"Gereed","G","Loopt","L","Geblokkeerd","B","Niet van toepassing","nvt","Niet gestart","-","-"),""))</f>
        <v/>
      </c>
      <c r="U23" s="33" t="str">
        <f aca="false">IF($A23="","",IFERROR(_xlfn.SWITCH(INDEX(Voortgang!$G$5:$G$504,MATCH($A23&amp;"|"&amp;TEXT(19,"00"),Voortgang!$M$5:$M$504,0)),"Gereed","G","Loopt","L","Geblokkeerd","B","Niet van toepassing","nvt","Niet gestart","-","-"),""))</f>
        <v/>
      </c>
      <c r="V23" s="33" t="str">
        <f aca="false">IF($A23="","",IFERROR(_xlfn.SWITCH(INDEX(Voortgang!$G$5:$G$504,MATCH($A23&amp;"|"&amp;TEXT(20,"00"),Voortgang!$M$5:$M$504,0)),"Gereed","G","Loopt","L","Geblokkeerd","B","Niet van toepassing","nvt","Niet gestart","-","-"),""))</f>
        <v/>
      </c>
    </row>
    <row r="24" customFormat="false" ht="15" hidden="false" customHeight="false" outlineLevel="0" collapsed="false">
      <c r="A24" s="27" t="str">
        <f aca="false">IFERROR(IF(INDEX(Overzicht!$C$5:$C$44,20)="","",IF(INDEX(Overzicht!$C$5:$C$44,20)="Vastgoedontwikkelaar",INDEX(Overzicht!$A$5:$A$44,20),"")),"")</f>
        <v/>
      </c>
      <c r="B24" s="27" t="str">
        <f aca="false">IF($A24="","",INDEX(Overzicht!$B$5:$B$44,20))</f>
        <v/>
      </c>
      <c r="C24" s="33" t="str">
        <f aca="false">IF($A24="","",IFERROR(_xlfn.SWITCH(INDEX(Voortgang!$G$5:$G$504,MATCH($A24&amp;"|"&amp;TEXT(1,"00"),Voortgang!$M$5:$M$504,0)),"Gereed","G","Loopt","L","Geblokkeerd","B","Niet van toepassing","nvt","Niet gestart","-","-"),""))</f>
        <v/>
      </c>
      <c r="D24" s="33" t="str">
        <f aca="false">IF($A24="","",IFERROR(_xlfn.SWITCH(INDEX(Voortgang!$G$5:$G$504,MATCH($A24&amp;"|"&amp;TEXT(2,"00"),Voortgang!$M$5:$M$504,0)),"Gereed","G","Loopt","L","Geblokkeerd","B","Niet van toepassing","nvt","Niet gestart","-","-"),""))</f>
        <v/>
      </c>
      <c r="E24" s="33" t="str">
        <f aca="false">IF($A24="","",IFERROR(_xlfn.SWITCH(INDEX(Voortgang!$G$5:$G$504,MATCH($A24&amp;"|"&amp;TEXT(3,"00"),Voortgang!$M$5:$M$504,0)),"Gereed","G","Loopt","L","Geblokkeerd","B","Niet van toepassing","nvt","Niet gestart","-","-"),""))</f>
        <v/>
      </c>
      <c r="F24" s="33" t="str">
        <f aca="false">IF($A24="","",IFERROR(_xlfn.SWITCH(INDEX(Voortgang!$G$5:$G$504,MATCH($A24&amp;"|"&amp;TEXT(4,"00"),Voortgang!$M$5:$M$504,0)),"Gereed","G","Loopt","L","Geblokkeerd","B","Niet van toepassing","nvt","Niet gestart","-","-"),""))</f>
        <v/>
      </c>
      <c r="G24" s="33" t="str">
        <f aca="false">IF($A24="","",IFERROR(_xlfn.SWITCH(INDEX(Voortgang!$G$5:$G$504,MATCH($A24&amp;"|"&amp;TEXT(5,"00"),Voortgang!$M$5:$M$504,0)),"Gereed","G","Loopt","L","Geblokkeerd","B","Niet van toepassing","nvt","Niet gestart","-","-"),""))</f>
        <v/>
      </c>
      <c r="H24" s="33" t="str">
        <f aca="false">IF($A24="","",IFERROR(_xlfn.SWITCH(INDEX(Voortgang!$G$5:$G$504,MATCH($A24&amp;"|"&amp;TEXT(6,"00"),Voortgang!$M$5:$M$504,0)),"Gereed","G","Loopt","L","Geblokkeerd","B","Niet van toepassing","nvt","Niet gestart","-","-"),""))</f>
        <v/>
      </c>
      <c r="I24" s="33" t="str">
        <f aca="false">IF($A24="","",IFERROR(_xlfn.SWITCH(INDEX(Voortgang!$G$5:$G$504,MATCH($A24&amp;"|"&amp;TEXT(7,"00"),Voortgang!$M$5:$M$504,0)),"Gereed","G","Loopt","L","Geblokkeerd","B","Niet van toepassing","nvt","Niet gestart","-","-"),""))</f>
        <v/>
      </c>
      <c r="J24" s="33" t="str">
        <f aca="false">IF($A24="","",IFERROR(_xlfn.SWITCH(INDEX(Voortgang!$G$5:$G$504,MATCH($A24&amp;"|"&amp;TEXT(8,"00"),Voortgang!$M$5:$M$504,0)),"Gereed","G","Loopt","L","Geblokkeerd","B","Niet van toepassing","nvt","Niet gestart","-","-"),""))</f>
        <v/>
      </c>
      <c r="K24" s="33" t="str">
        <f aca="false">IF($A24="","",IFERROR(_xlfn.SWITCH(INDEX(Voortgang!$G$5:$G$504,MATCH($A24&amp;"|"&amp;TEXT(9,"00"),Voortgang!$M$5:$M$504,0)),"Gereed","G","Loopt","L","Geblokkeerd","B","Niet van toepassing","nvt","Niet gestart","-","-"),""))</f>
        <v/>
      </c>
      <c r="L24" s="33" t="str">
        <f aca="false">IF($A24="","",IFERROR(_xlfn.SWITCH(INDEX(Voortgang!$G$5:$G$504,MATCH($A24&amp;"|"&amp;TEXT(10,"00"),Voortgang!$M$5:$M$504,0)),"Gereed","G","Loopt","L","Geblokkeerd","B","Niet van toepassing","nvt","Niet gestart","-","-"),""))</f>
        <v/>
      </c>
      <c r="M24" s="33" t="str">
        <f aca="false">IF($A24="","",IFERROR(_xlfn.SWITCH(INDEX(Voortgang!$G$5:$G$504,MATCH($A24&amp;"|"&amp;TEXT(11,"00"),Voortgang!$M$5:$M$504,0)),"Gereed","G","Loopt","L","Geblokkeerd","B","Niet van toepassing","nvt","Niet gestart","-","-"),""))</f>
        <v/>
      </c>
      <c r="N24" s="33" t="str">
        <f aca="false">IF($A24="","",IFERROR(_xlfn.SWITCH(INDEX(Voortgang!$G$5:$G$504,MATCH($A24&amp;"|"&amp;TEXT(12,"00"),Voortgang!$M$5:$M$504,0)),"Gereed","G","Loopt","L","Geblokkeerd","B","Niet van toepassing","nvt","Niet gestart","-","-"),""))</f>
        <v/>
      </c>
      <c r="O24" s="33" t="str">
        <f aca="false">IF($A24="","",IFERROR(_xlfn.SWITCH(INDEX(Voortgang!$G$5:$G$504,MATCH($A24&amp;"|"&amp;TEXT(13,"00"),Voortgang!$M$5:$M$504,0)),"Gereed","G","Loopt","L","Geblokkeerd","B","Niet van toepassing","nvt","Niet gestart","-","-"),""))</f>
        <v/>
      </c>
      <c r="P24" s="33" t="str">
        <f aca="false">IF($A24="","",IFERROR(_xlfn.SWITCH(INDEX(Voortgang!$G$5:$G$504,MATCH($A24&amp;"|"&amp;TEXT(14,"00"),Voortgang!$M$5:$M$504,0)),"Gereed","G","Loopt","L","Geblokkeerd","B","Niet van toepassing","nvt","Niet gestart","-","-"),""))</f>
        <v/>
      </c>
      <c r="Q24" s="33" t="str">
        <f aca="false">IF($A24="","",IFERROR(_xlfn.SWITCH(INDEX(Voortgang!$G$5:$G$504,MATCH($A24&amp;"|"&amp;TEXT(15,"00"),Voortgang!$M$5:$M$504,0)),"Gereed","G","Loopt","L","Geblokkeerd","B","Niet van toepassing","nvt","Niet gestart","-","-"),""))</f>
        <v/>
      </c>
      <c r="R24" s="33" t="str">
        <f aca="false">IF($A24="","",IFERROR(_xlfn.SWITCH(INDEX(Voortgang!$G$5:$G$504,MATCH($A24&amp;"|"&amp;TEXT(16,"00"),Voortgang!$M$5:$M$504,0)),"Gereed","G","Loopt","L","Geblokkeerd","B","Niet van toepassing","nvt","Niet gestart","-","-"),""))</f>
        <v/>
      </c>
      <c r="S24" s="33" t="str">
        <f aca="false">IF($A24="","",IFERROR(_xlfn.SWITCH(INDEX(Voortgang!$G$5:$G$504,MATCH($A24&amp;"|"&amp;TEXT(17,"00"),Voortgang!$M$5:$M$504,0)),"Gereed","G","Loopt","L","Geblokkeerd","B","Niet van toepassing","nvt","Niet gestart","-","-"),""))</f>
        <v/>
      </c>
      <c r="T24" s="33" t="str">
        <f aca="false">IF($A24="","",IFERROR(_xlfn.SWITCH(INDEX(Voortgang!$G$5:$G$504,MATCH($A24&amp;"|"&amp;TEXT(18,"00"),Voortgang!$M$5:$M$504,0)),"Gereed","G","Loopt","L","Geblokkeerd","B","Niet van toepassing","nvt","Niet gestart","-","-"),""))</f>
        <v/>
      </c>
      <c r="U24" s="33" t="str">
        <f aca="false">IF($A24="","",IFERROR(_xlfn.SWITCH(INDEX(Voortgang!$G$5:$G$504,MATCH($A24&amp;"|"&amp;TEXT(19,"00"),Voortgang!$M$5:$M$504,0)),"Gereed","G","Loopt","L","Geblokkeerd","B","Niet van toepassing","nvt","Niet gestart","-","-"),""))</f>
        <v/>
      </c>
      <c r="V24" s="33" t="str">
        <f aca="false">IF($A24="","",IFERROR(_xlfn.SWITCH(INDEX(Voortgang!$G$5:$G$504,MATCH($A24&amp;"|"&amp;TEXT(20,"00"),Voortgang!$M$5:$M$504,0)),"Gereed","G","Loopt","L","Geblokkeerd","B","Niet van toepassing","nvt","Niet gestart","-","-"),""))</f>
        <v/>
      </c>
    </row>
    <row r="25" customFormat="false" ht="15" hidden="false" customHeight="false" outlineLevel="0" collapsed="false">
      <c r="A25" s="27" t="str">
        <f aca="false">IFERROR(IF(INDEX(Overzicht!$C$5:$C$44,21)="","",IF(INDEX(Overzicht!$C$5:$C$44,21)="Vastgoedontwikkelaar",INDEX(Overzicht!$A$5:$A$44,21),"")),"")</f>
        <v/>
      </c>
      <c r="B25" s="27" t="str">
        <f aca="false">IF($A25="","",INDEX(Overzicht!$B$5:$B$44,21))</f>
        <v/>
      </c>
      <c r="C25" s="33" t="str">
        <f aca="false">IF($A25="","",IFERROR(_xlfn.SWITCH(INDEX(Voortgang!$G$5:$G$504,MATCH($A25&amp;"|"&amp;TEXT(1,"00"),Voortgang!$M$5:$M$504,0)),"Gereed","G","Loopt","L","Geblokkeerd","B","Niet van toepassing","nvt","Niet gestart","-","-"),""))</f>
        <v/>
      </c>
      <c r="D25" s="33" t="str">
        <f aca="false">IF($A25="","",IFERROR(_xlfn.SWITCH(INDEX(Voortgang!$G$5:$G$504,MATCH($A25&amp;"|"&amp;TEXT(2,"00"),Voortgang!$M$5:$M$504,0)),"Gereed","G","Loopt","L","Geblokkeerd","B","Niet van toepassing","nvt","Niet gestart","-","-"),""))</f>
        <v/>
      </c>
      <c r="E25" s="33" t="str">
        <f aca="false">IF($A25="","",IFERROR(_xlfn.SWITCH(INDEX(Voortgang!$G$5:$G$504,MATCH($A25&amp;"|"&amp;TEXT(3,"00"),Voortgang!$M$5:$M$504,0)),"Gereed","G","Loopt","L","Geblokkeerd","B","Niet van toepassing","nvt","Niet gestart","-","-"),""))</f>
        <v/>
      </c>
      <c r="F25" s="33" t="str">
        <f aca="false">IF($A25="","",IFERROR(_xlfn.SWITCH(INDEX(Voortgang!$G$5:$G$504,MATCH($A25&amp;"|"&amp;TEXT(4,"00"),Voortgang!$M$5:$M$504,0)),"Gereed","G","Loopt","L","Geblokkeerd","B","Niet van toepassing","nvt","Niet gestart","-","-"),""))</f>
        <v/>
      </c>
      <c r="G25" s="33" t="str">
        <f aca="false">IF($A25="","",IFERROR(_xlfn.SWITCH(INDEX(Voortgang!$G$5:$G$504,MATCH($A25&amp;"|"&amp;TEXT(5,"00"),Voortgang!$M$5:$M$504,0)),"Gereed","G","Loopt","L","Geblokkeerd","B","Niet van toepassing","nvt","Niet gestart","-","-"),""))</f>
        <v/>
      </c>
      <c r="H25" s="33" t="str">
        <f aca="false">IF($A25="","",IFERROR(_xlfn.SWITCH(INDEX(Voortgang!$G$5:$G$504,MATCH($A25&amp;"|"&amp;TEXT(6,"00"),Voortgang!$M$5:$M$504,0)),"Gereed","G","Loopt","L","Geblokkeerd","B","Niet van toepassing","nvt","Niet gestart","-","-"),""))</f>
        <v/>
      </c>
      <c r="I25" s="33" t="str">
        <f aca="false">IF($A25="","",IFERROR(_xlfn.SWITCH(INDEX(Voortgang!$G$5:$G$504,MATCH($A25&amp;"|"&amp;TEXT(7,"00"),Voortgang!$M$5:$M$504,0)),"Gereed","G","Loopt","L","Geblokkeerd","B","Niet van toepassing","nvt","Niet gestart","-","-"),""))</f>
        <v/>
      </c>
      <c r="J25" s="33" t="str">
        <f aca="false">IF($A25="","",IFERROR(_xlfn.SWITCH(INDEX(Voortgang!$G$5:$G$504,MATCH($A25&amp;"|"&amp;TEXT(8,"00"),Voortgang!$M$5:$M$504,0)),"Gereed","G","Loopt","L","Geblokkeerd","B","Niet van toepassing","nvt","Niet gestart","-","-"),""))</f>
        <v/>
      </c>
      <c r="K25" s="33" t="str">
        <f aca="false">IF($A25="","",IFERROR(_xlfn.SWITCH(INDEX(Voortgang!$G$5:$G$504,MATCH($A25&amp;"|"&amp;TEXT(9,"00"),Voortgang!$M$5:$M$504,0)),"Gereed","G","Loopt","L","Geblokkeerd","B","Niet van toepassing","nvt","Niet gestart","-","-"),""))</f>
        <v/>
      </c>
      <c r="L25" s="33" t="str">
        <f aca="false">IF($A25="","",IFERROR(_xlfn.SWITCH(INDEX(Voortgang!$G$5:$G$504,MATCH($A25&amp;"|"&amp;TEXT(10,"00"),Voortgang!$M$5:$M$504,0)),"Gereed","G","Loopt","L","Geblokkeerd","B","Niet van toepassing","nvt","Niet gestart","-","-"),""))</f>
        <v/>
      </c>
      <c r="M25" s="33" t="str">
        <f aca="false">IF($A25="","",IFERROR(_xlfn.SWITCH(INDEX(Voortgang!$G$5:$G$504,MATCH($A25&amp;"|"&amp;TEXT(11,"00"),Voortgang!$M$5:$M$504,0)),"Gereed","G","Loopt","L","Geblokkeerd","B","Niet van toepassing","nvt","Niet gestart","-","-"),""))</f>
        <v/>
      </c>
      <c r="N25" s="33" t="str">
        <f aca="false">IF($A25="","",IFERROR(_xlfn.SWITCH(INDEX(Voortgang!$G$5:$G$504,MATCH($A25&amp;"|"&amp;TEXT(12,"00"),Voortgang!$M$5:$M$504,0)),"Gereed","G","Loopt","L","Geblokkeerd","B","Niet van toepassing","nvt","Niet gestart","-","-"),""))</f>
        <v/>
      </c>
      <c r="O25" s="33" t="str">
        <f aca="false">IF($A25="","",IFERROR(_xlfn.SWITCH(INDEX(Voortgang!$G$5:$G$504,MATCH($A25&amp;"|"&amp;TEXT(13,"00"),Voortgang!$M$5:$M$504,0)),"Gereed","G","Loopt","L","Geblokkeerd","B","Niet van toepassing","nvt","Niet gestart","-","-"),""))</f>
        <v/>
      </c>
      <c r="P25" s="33" t="str">
        <f aca="false">IF($A25="","",IFERROR(_xlfn.SWITCH(INDEX(Voortgang!$G$5:$G$504,MATCH($A25&amp;"|"&amp;TEXT(14,"00"),Voortgang!$M$5:$M$504,0)),"Gereed","G","Loopt","L","Geblokkeerd","B","Niet van toepassing","nvt","Niet gestart","-","-"),""))</f>
        <v/>
      </c>
      <c r="Q25" s="33" t="str">
        <f aca="false">IF($A25="","",IFERROR(_xlfn.SWITCH(INDEX(Voortgang!$G$5:$G$504,MATCH($A25&amp;"|"&amp;TEXT(15,"00"),Voortgang!$M$5:$M$504,0)),"Gereed","G","Loopt","L","Geblokkeerd","B","Niet van toepassing","nvt","Niet gestart","-","-"),""))</f>
        <v/>
      </c>
      <c r="R25" s="33" t="str">
        <f aca="false">IF($A25="","",IFERROR(_xlfn.SWITCH(INDEX(Voortgang!$G$5:$G$504,MATCH($A25&amp;"|"&amp;TEXT(16,"00"),Voortgang!$M$5:$M$504,0)),"Gereed","G","Loopt","L","Geblokkeerd","B","Niet van toepassing","nvt","Niet gestart","-","-"),""))</f>
        <v/>
      </c>
      <c r="S25" s="33" t="str">
        <f aca="false">IF($A25="","",IFERROR(_xlfn.SWITCH(INDEX(Voortgang!$G$5:$G$504,MATCH($A25&amp;"|"&amp;TEXT(17,"00"),Voortgang!$M$5:$M$504,0)),"Gereed","G","Loopt","L","Geblokkeerd","B","Niet van toepassing","nvt","Niet gestart","-","-"),""))</f>
        <v/>
      </c>
      <c r="T25" s="33" t="str">
        <f aca="false">IF($A25="","",IFERROR(_xlfn.SWITCH(INDEX(Voortgang!$G$5:$G$504,MATCH($A25&amp;"|"&amp;TEXT(18,"00"),Voortgang!$M$5:$M$504,0)),"Gereed","G","Loopt","L","Geblokkeerd","B","Niet van toepassing","nvt","Niet gestart","-","-"),""))</f>
        <v/>
      </c>
      <c r="U25" s="33" t="str">
        <f aca="false">IF($A25="","",IFERROR(_xlfn.SWITCH(INDEX(Voortgang!$G$5:$G$504,MATCH($A25&amp;"|"&amp;TEXT(19,"00"),Voortgang!$M$5:$M$504,0)),"Gereed","G","Loopt","L","Geblokkeerd","B","Niet van toepassing","nvt","Niet gestart","-","-"),""))</f>
        <v/>
      </c>
      <c r="V25" s="33" t="str">
        <f aca="false">IF($A25="","",IFERROR(_xlfn.SWITCH(INDEX(Voortgang!$G$5:$G$504,MATCH($A25&amp;"|"&amp;TEXT(20,"00"),Voortgang!$M$5:$M$504,0)),"Gereed","G","Loopt","L","Geblokkeerd","B","Niet van toepassing","nvt","Niet gestart","-","-"),""))</f>
        <v/>
      </c>
    </row>
    <row r="26" customFormat="false" ht="15" hidden="false" customHeight="false" outlineLevel="0" collapsed="false">
      <c r="A26" s="27" t="str">
        <f aca="false">IFERROR(IF(INDEX(Overzicht!$C$5:$C$44,22)="","",IF(INDEX(Overzicht!$C$5:$C$44,22)="Vastgoedontwikkelaar",INDEX(Overzicht!$A$5:$A$44,22),"")),"")</f>
        <v/>
      </c>
      <c r="B26" s="27" t="str">
        <f aca="false">IF($A26="","",INDEX(Overzicht!$B$5:$B$44,22))</f>
        <v/>
      </c>
      <c r="C26" s="33" t="str">
        <f aca="false">IF($A26="","",IFERROR(_xlfn.SWITCH(INDEX(Voortgang!$G$5:$G$504,MATCH($A26&amp;"|"&amp;TEXT(1,"00"),Voortgang!$M$5:$M$504,0)),"Gereed","G","Loopt","L","Geblokkeerd","B","Niet van toepassing","nvt","Niet gestart","-","-"),""))</f>
        <v/>
      </c>
      <c r="D26" s="33" t="str">
        <f aca="false">IF($A26="","",IFERROR(_xlfn.SWITCH(INDEX(Voortgang!$G$5:$G$504,MATCH($A26&amp;"|"&amp;TEXT(2,"00"),Voortgang!$M$5:$M$504,0)),"Gereed","G","Loopt","L","Geblokkeerd","B","Niet van toepassing","nvt","Niet gestart","-","-"),""))</f>
        <v/>
      </c>
      <c r="E26" s="33" t="str">
        <f aca="false">IF($A26="","",IFERROR(_xlfn.SWITCH(INDEX(Voortgang!$G$5:$G$504,MATCH($A26&amp;"|"&amp;TEXT(3,"00"),Voortgang!$M$5:$M$504,0)),"Gereed","G","Loopt","L","Geblokkeerd","B","Niet van toepassing","nvt","Niet gestart","-","-"),""))</f>
        <v/>
      </c>
      <c r="F26" s="33" t="str">
        <f aca="false">IF($A26="","",IFERROR(_xlfn.SWITCH(INDEX(Voortgang!$G$5:$G$504,MATCH($A26&amp;"|"&amp;TEXT(4,"00"),Voortgang!$M$5:$M$504,0)),"Gereed","G","Loopt","L","Geblokkeerd","B","Niet van toepassing","nvt","Niet gestart","-","-"),""))</f>
        <v/>
      </c>
      <c r="G26" s="33" t="str">
        <f aca="false">IF($A26="","",IFERROR(_xlfn.SWITCH(INDEX(Voortgang!$G$5:$G$504,MATCH($A26&amp;"|"&amp;TEXT(5,"00"),Voortgang!$M$5:$M$504,0)),"Gereed","G","Loopt","L","Geblokkeerd","B","Niet van toepassing","nvt","Niet gestart","-","-"),""))</f>
        <v/>
      </c>
      <c r="H26" s="33" t="str">
        <f aca="false">IF($A26="","",IFERROR(_xlfn.SWITCH(INDEX(Voortgang!$G$5:$G$504,MATCH($A26&amp;"|"&amp;TEXT(6,"00"),Voortgang!$M$5:$M$504,0)),"Gereed","G","Loopt","L","Geblokkeerd","B","Niet van toepassing","nvt","Niet gestart","-","-"),""))</f>
        <v/>
      </c>
      <c r="I26" s="33" t="str">
        <f aca="false">IF($A26="","",IFERROR(_xlfn.SWITCH(INDEX(Voortgang!$G$5:$G$504,MATCH($A26&amp;"|"&amp;TEXT(7,"00"),Voortgang!$M$5:$M$504,0)),"Gereed","G","Loopt","L","Geblokkeerd","B","Niet van toepassing","nvt","Niet gestart","-","-"),""))</f>
        <v/>
      </c>
      <c r="J26" s="33" t="str">
        <f aca="false">IF($A26="","",IFERROR(_xlfn.SWITCH(INDEX(Voortgang!$G$5:$G$504,MATCH($A26&amp;"|"&amp;TEXT(8,"00"),Voortgang!$M$5:$M$504,0)),"Gereed","G","Loopt","L","Geblokkeerd","B","Niet van toepassing","nvt","Niet gestart","-","-"),""))</f>
        <v/>
      </c>
      <c r="K26" s="33" t="str">
        <f aca="false">IF($A26="","",IFERROR(_xlfn.SWITCH(INDEX(Voortgang!$G$5:$G$504,MATCH($A26&amp;"|"&amp;TEXT(9,"00"),Voortgang!$M$5:$M$504,0)),"Gereed","G","Loopt","L","Geblokkeerd","B","Niet van toepassing","nvt","Niet gestart","-","-"),""))</f>
        <v/>
      </c>
      <c r="L26" s="33" t="str">
        <f aca="false">IF($A26="","",IFERROR(_xlfn.SWITCH(INDEX(Voortgang!$G$5:$G$504,MATCH($A26&amp;"|"&amp;TEXT(10,"00"),Voortgang!$M$5:$M$504,0)),"Gereed","G","Loopt","L","Geblokkeerd","B","Niet van toepassing","nvt","Niet gestart","-","-"),""))</f>
        <v/>
      </c>
      <c r="M26" s="33" t="str">
        <f aca="false">IF($A26="","",IFERROR(_xlfn.SWITCH(INDEX(Voortgang!$G$5:$G$504,MATCH($A26&amp;"|"&amp;TEXT(11,"00"),Voortgang!$M$5:$M$504,0)),"Gereed","G","Loopt","L","Geblokkeerd","B","Niet van toepassing","nvt","Niet gestart","-","-"),""))</f>
        <v/>
      </c>
      <c r="N26" s="33" t="str">
        <f aca="false">IF($A26="","",IFERROR(_xlfn.SWITCH(INDEX(Voortgang!$G$5:$G$504,MATCH($A26&amp;"|"&amp;TEXT(12,"00"),Voortgang!$M$5:$M$504,0)),"Gereed","G","Loopt","L","Geblokkeerd","B","Niet van toepassing","nvt","Niet gestart","-","-"),""))</f>
        <v/>
      </c>
      <c r="O26" s="33" t="str">
        <f aca="false">IF($A26="","",IFERROR(_xlfn.SWITCH(INDEX(Voortgang!$G$5:$G$504,MATCH($A26&amp;"|"&amp;TEXT(13,"00"),Voortgang!$M$5:$M$504,0)),"Gereed","G","Loopt","L","Geblokkeerd","B","Niet van toepassing","nvt","Niet gestart","-","-"),""))</f>
        <v/>
      </c>
      <c r="P26" s="33" t="str">
        <f aca="false">IF($A26="","",IFERROR(_xlfn.SWITCH(INDEX(Voortgang!$G$5:$G$504,MATCH($A26&amp;"|"&amp;TEXT(14,"00"),Voortgang!$M$5:$M$504,0)),"Gereed","G","Loopt","L","Geblokkeerd","B","Niet van toepassing","nvt","Niet gestart","-","-"),""))</f>
        <v/>
      </c>
      <c r="Q26" s="33" t="str">
        <f aca="false">IF($A26="","",IFERROR(_xlfn.SWITCH(INDEX(Voortgang!$G$5:$G$504,MATCH($A26&amp;"|"&amp;TEXT(15,"00"),Voortgang!$M$5:$M$504,0)),"Gereed","G","Loopt","L","Geblokkeerd","B","Niet van toepassing","nvt","Niet gestart","-","-"),""))</f>
        <v/>
      </c>
      <c r="R26" s="33" t="str">
        <f aca="false">IF($A26="","",IFERROR(_xlfn.SWITCH(INDEX(Voortgang!$G$5:$G$504,MATCH($A26&amp;"|"&amp;TEXT(16,"00"),Voortgang!$M$5:$M$504,0)),"Gereed","G","Loopt","L","Geblokkeerd","B","Niet van toepassing","nvt","Niet gestart","-","-"),""))</f>
        <v/>
      </c>
      <c r="S26" s="33" t="str">
        <f aca="false">IF($A26="","",IFERROR(_xlfn.SWITCH(INDEX(Voortgang!$G$5:$G$504,MATCH($A26&amp;"|"&amp;TEXT(17,"00"),Voortgang!$M$5:$M$504,0)),"Gereed","G","Loopt","L","Geblokkeerd","B","Niet van toepassing","nvt","Niet gestart","-","-"),""))</f>
        <v/>
      </c>
      <c r="T26" s="33" t="str">
        <f aca="false">IF($A26="","",IFERROR(_xlfn.SWITCH(INDEX(Voortgang!$G$5:$G$504,MATCH($A26&amp;"|"&amp;TEXT(18,"00"),Voortgang!$M$5:$M$504,0)),"Gereed","G","Loopt","L","Geblokkeerd","B","Niet van toepassing","nvt","Niet gestart","-","-"),""))</f>
        <v/>
      </c>
      <c r="U26" s="33" t="str">
        <f aca="false">IF($A26="","",IFERROR(_xlfn.SWITCH(INDEX(Voortgang!$G$5:$G$504,MATCH($A26&amp;"|"&amp;TEXT(19,"00"),Voortgang!$M$5:$M$504,0)),"Gereed","G","Loopt","L","Geblokkeerd","B","Niet van toepassing","nvt","Niet gestart","-","-"),""))</f>
        <v/>
      </c>
      <c r="V26" s="33" t="str">
        <f aca="false">IF($A26="","",IFERROR(_xlfn.SWITCH(INDEX(Voortgang!$G$5:$G$504,MATCH($A26&amp;"|"&amp;TEXT(20,"00"),Voortgang!$M$5:$M$504,0)),"Gereed","G","Loopt","L","Geblokkeerd","B","Niet van toepassing","nvt","Niet gestart","-","-"),""))</f>
        <v/>
      </c>
    </row>
    <row r="27" customFormat="false" ht="15" hidden="false" customHeight="false" outlineLevel="0" collapsed="false">
      <c r="A27" s="27" t="str">
        <f aca="false">IFERROR(IF(INDEX(Overzicht!$C$5:$C$44,23)="","",IF(INDEX(Overzicht!$C$5:$C$44,23)="Vastgoedontwikkelaar",INDEX(Overzicht!$A$5:$A$44,23),"")),"")</f>
        <v/>
      </c>
      <c r="B27" s="27" t="str">
        <f aca="false">IF($A27="","",INDEX(Overzicht!$B$5:$B$44,23))</f>
        <v/>
      </c>
      <c r="C27" s="33" t="str">
        <f aca="false">IF($A27="","",IFERROR(_xlfn.SWITCH(INDEX(Voortgang!$G$5:$G$504,MATCH($A27&amp;"|"&amp;TEXT(1,"00"),Voortgang!$M$5:$M$504,0)),"Gereed","G","Loopt","L","Geblokkeerd","B","Niet van toepassing","nvt","Niet gestart","-","-"),""))</f>
        <v/>
      </c>
      <c r="D27" s="33" t="str">
        <f aca="false">IF($A27="","",IFERROR(_xlfn.SWITCH(INDEX(Voortgang!$G$5:$G$504,MATCH($A27&amp;"|"&amp;TEXT(2,"00"),Voortgang!$M$5:$M$504,0)),"Gereed","G","Loopt","L","Geblokkeerd","B","Niet van toepassing","nvt","Niet gestart","-","-"),""))</f>
        <v/>
      </c>
      <c r="E27" s="33" t="str">
        <f aca="false">IF($A27="","",IFERROR(_xlfn.SWITCH(INDEX(Voortgang!$G$5:$G$504,MATCH($A27&amp;"|"&amp;TEXT(3,"00"),Voortgang!$M$5:$M$504,0)),"Gereed","G","Loopt","L","Geblokkeerd","B","Niet van toepassing","nvt","Niet gestart","-","-"),""))</f>
        <v/>
      </c>
      <c r="F27" s="33" t="str">
        <f aca="false">IF($A27="","",IFERROR(_xlfn.SWITCH(INDEX(Voortgang!$G$5:$G$504,MATCH($A27&amp;"|"&amp;TEXT(4,"00"),Voortgang!$M$5:$M$504,0)),"Gereed","G","Loopt","L","Geblokkeerd","B","Niet van toepassing","nvt","Niet gestart","-","-"),""))</f>
        <v/>
      </c>
      <c r="G27" s="33" t="str">
        <f aca="false">IF($A27="","",IFERROR(_xlfn.SWITCH(INDEX(Voortgang!$G$5:$G$504,MATCH($A27&amp;"|"&amp;TEXT(5,"00"),Voortgang!$M$5:$M$504,0)),"Gereed","G","Loopt","L","Geblokkeerd","B","Niet van toepassing","nvt","Niet gestart","-","-"),""))</f>
        <v/>
      </c>
      <c r="H27" s="33" t="str">
        <f aca="false">IF($A27="","",IFERROR(_xlfn.SWITCH(INDEX(Voortgang!$G$5:$G$504,MATCH($A27&amp;"|"&amp;TEXT(6,"00"),Voortgang!$M$5:$M$504,0)),"Gereed","G","Loopt","L","Geblokkeerd","B","Niet van toepassing","nvt","Niet gestart","-","-"),""))</f>
        <v/>
      </c>
      <c r="I27" s="33" t="str">
        <f aca="false">IF($A27="","",IFERROR(_xlfn.SWITCH(INDEX(Voortgang!$G$5:$G$504,MATCH($A27&amp;"|"&amp;TEXT(7,"00"),Voortgang!$M$5:$M$504,0)),"Gereed","G","Loopt","L","Geblokkeerd","B","Niet van toepassing","nvt","Niet gestart","-","-"),""))</f>
        <v/>
      </c>
      <c r="J27" s="33" t="str">
        <f aca="false">IF($A27="","",IFERROR(_xlfn.SWITCH(INDEX(Voortgang!$G$5:$G$504,MATCH($A27&amp;"|"&amp;TEXT(8,"00"),Voortgang!$M$5:$M$504,0)),"Gereed","G","Loopt","L","Geblokkeerd","B","Niet van toepassing","nvt","Niet gestart","-","-"),""))</f>
        <v/>
      </c>
      <c r="K27" s="33" t="str">
        <f aca="false">IF($A27="","",IFERROR(_xlfn.SWITCH(INDEX(Voortgang!$G$5:$G$504,MATCH($A27&amp;"|"&amp;TEXT(9,"00"),Voortgang!$M$5:$M$504,0)),"Gereed","G","Loopt","L","Geblokkeerd","B","Niet van toepassing","nvt","Niet gestart","-","-"),""))</f>
        <v/>
      </c>
      <c r="L27" s="33" t="str">
        <f aca="false">IF($A27="","",IFERROR(_xlfn.SWITCH(INDEX(Voortgang!$G$5:$G$504,MATCH($A27&amp;"|"&amp;TEXT(10,"00"),Voortgang!$M$5:$M$504,0)),"Gereed","G","Loopt","L","Geblokkeerd","B","Niet van toepassing","nvt","Niet gestart","-","-"),""))</f>
        <v/>
      </c>
      <c r="M27" s="33" t="str">
        <f aca="false">IF($A27="","",IFERROR(_xlfn.SWITCH(INDEX(Voortgang!$G$5:$G$504,MATCH($A27&amp;"|"&amp;TEXT(11,"00"),Voortgang!$M$5:$M$504,0)),"Gereed","G","Loopt","L","Geblokkeerd","B","Niet van toepassing","nvt","Niet gestart","-","-"),""))</f>
        <v/>
      </c>
      <c r="N27" s="33" t="str">
        <f aca="false">IF($A27="","",IFERROR(_xlfn.SWITCH(INDEX(Voortgang!$G$5:$G$504,MATCH($A27&amp;"|"&amp;TEXT(12,"00"),Voortgang!$M$5:$M$504,0)),"Gereed","G","Loopt","L","Geblokkeerd","B","Niet van toepassing","nvt","Niet gestart","-","-"),""))</f>
        <v/>
      </c>
      <c r="O27" s="33" t="str">
        <f aca="false">IF($A27="","",IFERROR(_xlfn.SWITCH(INDEX(Voortgang!$G$5:$G$504,MATCH($A27&amp;"|"&amp;TEXT(13,"00"),Voortgang!$M$5:$M$504,0)),"Gereed","G","Loopt","L","Geblokkeerd","B","Niet van toepassing","nvt","Niet gestart","-","-"),""))</f>
        <v/>
      </c>
      <c r="P27" s="33" t="str">
        <f aca="false">IF($A27="","",IFERROR(_xlfn.SWITCH(INDEX(Voortgang!$G$5:$G$504,MATCH($A27&amp;"|"&amp;TEXT(14,"00"),Voortgang!$M$5:$M$504,0)),"Gereed","G","Loopt","L","Geblokkeerd","B","Niet van toepassing","nvt","Niet gestart","-","-"),""))</f>
        <v/>
      </c>
      <c r="Q27" s="33" t="str">
        <f aca="false">IF($A27="","",IFERROR(_xlfn.SWITCH(INDEX(Voortgang!$G$5:$G$504,MATCH($A27&amp;"|"&amp;TEXT(15,"00"),Voortgang!$M$5:$M$504,0)),"Gereed","G","Loopt","L","Geblokkeerd","B","Niet van toepassing","nvt","Niet gestart","-","-"),""))</f>
        <v/>
      </c>
      <c r="R27" s="33" t="str">
        <f aca="false">IF($A27="","",IFERROR(_xlfn.SWITCH(INDEX(Voortgang!$G$5:$G$504,MATCH($A27&amp;"|"&amp;TEXT(16,"00"),Voortgang!$M$5:$M$504,0)),"Gereed","G","Loopt","L","Geblokkeerd","B","Niet van toepassing","nvt","Niet gestart","-","-"),""))</f>
        <v/>
      </c>
      <c r="S27" s="33" t="str">
        <f aca="false">IF($A27="","",IFERROR(_xlfn.SWITCH(INDEX(Voortgang!$G$5:$G$504,MATCH($A27&amp;"|"&amp;TEXT(17,"00"),Voortgang!$M$5:$M$504,0)),"Gereed","G","Loopt","L","Geblokkeerd","B","Niet van toepassing","nvt","Niet gestart","-","-"),""))</f>
        <v/>
      </c>
      <c r="T27" s="33" t="str">
        <f aca="false">IF($A27="","",IFERROR(_xlfn.SWITCH(INDEX(Voortgang!$G$5:$G$504,MATCH($A27&amp;"|"&amp;TEXT(18,"00"),Voortgang!$M$5:$M$504,0)),"Gereed","G","Loopt","L","Geblokkeerd","B","Niet van toepassing","nvt","Niet gestart","-","-"),""))</f>
        <v/>
      </c>
      <c r="U27" s="33" t="str">
        <f aca="false">IF($A27="","",IFERROR(_xlfn.SWITCH(INDEX(Voortgang!$G$5:$G$504,MATCH($A27&amp;"|"&amp;TEXT(19,"00"),Voortgang!$M$5:$M$504,0)),"Gereed","G","Loopt","L","Geblokkeerd","B","Niet van toepassing","nvt","Niet gestart","-","-"),""))</f>
        <v/>
      </c>
      <c r="V27" s="33" t="str">
        <f aca="false">IF($A27="","",IFERROR(_xlfn.SWITCH(INDEX(Voortgang!$G$5:$G$504,MATCH($A27&amp;"|"&amp;TEXT(20,"00"),Voortgang!$M$5:$M$504,0)),"Gereed","G","Loopt","L","Geblokkeerd","B","Niet van toepassing","nvt","Niet gestart","-","-"),""))</f>
        <v/>
      </c>
    </row>
    <row r="28" customFormat="false" ht="15" hidden="false" customHeight="false" outlineLevel="0" collapsed="false">
      <c r="A28" s="27" t="str">
        <f aca="false">IFERROR(IF(INDEX(Overzicht!$C$5:$C$44,24)="","",IF(INDEX(Overzicht!$C$5:$C$44,24)="Vastgoedontwikkelaar",INDEX(Overzicht!$A$5:$A$44,24),"")),"")</f>
        <v/>
      </c>
      <c r="B28" s="27" t="str">
        <f aca="false">IF($A28="","",INDEX(Overzicht!$B$5:$B$44,24))</f>
        <v/>
      </c>
      <c r="C28" s="33" t="str">
        <f aca="false">IF($A28="","",IFERROR(_xlfn.SWITCH(INDEX(Voortgang!$G$5:$G$504,MATCH($A28&amp;"|"&amp;TEXT(1,"00"),Voortgang!$M$5:$M$504,0)),"Gereed","G","Loopt","L","Geblokkeerd","B","Niet van toepassing","nvt","Niet gestart","-","-"),""))</f>
        <v/>
      </c>
      <c r="D28" s="33" t="str">
        <f aca="false">IF($A28="","",IFERROR(_xlfn.SWITCH(INDEX(Voortgang!$G$5:$G$504,MATCH($A28&amp;"|"&amp;TEXT(2,"00"),Voortgang!$M$5:$M$504,0)),"Gereed","G","Loopt","L","Geblokkeerd","B","Niet van toepassing","nvt","Niet gestart","-","-"),""))</f>
        <v/>
      </c>
      <c r="E28" s="33" t="str">
        <f aca="false">IF($A28="","",IFERROR(_xlfn.SWITCH(INDEX(Voortgang!$G$5:$G$504,MATCH($A28&amp;"|"&amp;TEXT(3,"00"),Voortgang!$M$5:$M$504,0)),"Gereed","G","Loopt","L","Geblokkeerd","B","Niet van toepassing","nvt","Niet gestart","-","-"),""))</f>
        <v/>
      </c>
      <c r="F28" s="33" t="str">
        <f aca="false">IF($A28="","",IFERROR(_xlfn.SWITCH(INDEX(Voortgang!$G$5:$G$504,MATCH($A28&amp;"|"&amp;TEXT(4,"00"),Voortgang!$M$5:$M$504,0)),"Gereed","G","Loopt","L","Geblokkeerd","B","Niet van toepassing","nvt","Niet gestart","-","-"),""))</f>
        <v/>
      </c>
      <c r="G28" s="33" t="str">
        <f aca="false">IF($A28="","",IFERROR(_xlfn.SWITCH(INDEX(Voortgang!$G$5:$G$504,MATCH($A28&amp;"|"&amp;TEXT(5,"00"),Voortgang!$M$5:$M$504,0)),"Gereed","G","Loopt","L","Geblokkeerd","B","Niet van toepassing","nvt","Niet gestart","-","-"),""))</f>
        <v/>
      </c>
      <c r="H28" s="33" t="str">
        <f aca="false">IF($A28="","",IFERROR(_xlfn.SWITCH(INDEX(Voortgang!$G$5:$G$504,MATCH($A28&amp;"|"&amp;TEXT(6,"00"),Voortgang!$M$5:$M$504,0)),"Gereed","G","Loopt","L","Geblokkeerd","B","Niet van toepassing","nvt","Niet gestart","-","-"),""))</f>
        <v/>
      </c>
      <c r="I28" s="33" t="str">
        <f aca="false">IF($A28="","",IFERROR(_xlfn.SWITCH(INDEX(Voortgang!$G$5:$G$504,MATCH($A28&amp;"|"&amp;TEXT(7,"00"),Voortgang!$M$5:$M$504,0)),"Gereed","G","Loopt","L","Geblokkeerd","B","Niet van toepassing","nvt","Niet gestart","-","-"),""))</f>
        <v/>
      </c>
      <c r="J28" s="33" t="str">
        <f aca="false">IF($A28="","",IFERROR(_xlfn.SWITCH(INDEX(Voortgang!$G$5:$G$504,MATCH($A28&amp;"|"&amp;TEXT(8,"00"),Voortgang!$M$5:$M$504,0)),"Gereed","G","Loopt","L","Geblokkeerd","B","Niet van toepassing","nvt","Niet gestart","-","-"),""))</f>
        <v/>
      </c>
      <c r="K28" s="33" t="str">
        <f aca="false">IF($A28="","",IFERROR(_xlfn.SWITCH(INDEX(Voortgang!$G$5:$G$504,MATCH($A28&amp;"|"&amp;TEXT(9,"00"),Voortgang!$M$5:$M$504,0)),"Gereed","G","Loopt","L","Geblokkeerd","B","Niet van toepassing","nvt","Niet gestart","-","-"),""))</f>
        <v/>
      </c>
      <c r="L28" s="33" t="str">
        <f aca="false">IF($A28="","",IFERROR(_xlfn.SWITCH(INDEX(Voortgang!$G$5:$G$504,MATCH($A28&amp;"|"&amp;TEXT(10,"00"),Voortgang!$M$5:$M$504,0)),"Gereed","G","Loopt","L","Geblokkeerd","B","Niet van toepassing","nvt","Niet gestart","-","-"),""))</f>
        <v/>
      </c>
      <c r="M28" s="33" t="str">
        <f aca="false">IF($A28="","",IFERROR(_xlfn.SWITCH(INDEX(Voortgang!$G$5:$G$504,MATCH($A28&amp;"|"&amp;TEXT(11,"00"),Voortgang!$M$5:$M$504,0)),"Gereed","G","Loopt","L","Geblokkeerd","B","Niet van toepassing","nvt","Niet gestart","-","-"),""))</f>
        <v/>
      </c>
      <c r="N28" s="33" t="str">
        <f aca="false">IF($A28="","",IFERROR(_xlfn.SWITCH(INDEX(Voortgang!$G$5:$G$504,MATCH($A28&amp;"|"&amp;TEXT(12,"00"),Voortgang!$M$5:$M$504,0)),"Gereed","G","Loopt","L","Geblokkeerd","B","Niet van toepassing","nvt","Niet gestart","-","-"),""))</f>
        <v/>
      </c>
      <c r="O28" s="33" t="str">
        <f aca="false">IF($A28="","",IFERROR(_xlfn.SWITCH(INDEX(Voortgang!$G$5:$G$504,MATCH($A28&amp;"|"&amp;TEXT(13,"00"),Voortgang!$M$5:$M$504,0)),"Gereed","G","Loopt","L","Geblokkeerd","B","Niet van toepassing","nvt","Niet gestart","-","-"),""))</f>
        <v/>
      </c>
      <c r="P28" s="33" t="str">
        <f aca="false">IF($A28="","",IFERROR(_xlfn.SWITCH(INDEX(Voortgang!$G$5:$G$504,MATCH($A28&amp;"|"&amp;TEXT(14,"00"),Voortgang!$M$5:$M$504,0)),"Gereed","G","Loopt","L","Geblokkeerd","B","Niet van toepassing","nvt","Niet gestart","-","-"),""))</f>
        <v/>
      </c>
      <c r="Q28" s="33" t="str">
        <f aca="false">IF($A28="","",IFERROR(_xlfn.SWITCH(INDEX(Voortgang!$G$5:$G$504,MATCH($A28&amp;"|"&amp;TEXT(15,"00"),Voortgang!$M$5:$M$504,0)),"Gereed","G","Loopt","L","Geblokkeerd","B","Niet van toepassing","nvt","Niet gestart","-","-"),""))</f>
        <v/>
      </c>
      <c r="R28" s="33" t="str">
        <f aca="false">IF($A28="","",IFERROR(_xlfn.SWITCH(INDEX(Voortgang!$G$5:$G$504,MATCH($A28&amp;"|"&amp;TEXT(16,"00"),Voortgang!$M$5:$M$504,0)),"Gereed","G","Loopt","L","Geblokkeerd","B","Niet van toepassing","nvt","Niet gestart","-","-"),""))</f>
        <v/>
      </c>
      <c r="S28" s="33" t="str">
        <f aca="false">IF($A28="","",IFERROR(_xlfn.SWITCH(INDEX(Voortgang!$G$5:$G$504,MATCH($A28&amp;"|"&amp;TEXT(17,"00"),Voortgang!$M$5:$M$504,0)),"Gereed","G","Loopt","L","Geblokkeerd","B","Niet van toepassing","nvt","Niet gestart","-","-"),""))</f>
        <v/>
      </c>
      <c r="T28" s="33" t="str">
        <f aca="false">IF($A28="","",IFERROR(_xlfn.SWITCH(INDEX(Voortgang!$G$5:$G$504,MATCH($A28&amp;"|"&amp;TEXT(18,"00"),Voortgang!$M$5:$M$504,0)),"Gereed","G","Loopt","L","Geblokkeerd","B","Niet van toepassing","nvt","Niet gestart","-","-"),""))</f>
        <v/>
      </c>
      <c r="U28" s="33" t="str">
        <f aca="false">IF($A28="","",IFERROR(_xlfn.SWITCH(INDEX(Voortgang!$G$5:$G$504,MATCH($A28&amp;"|"&amp;TEXT(19,"00"),Voortgang!$M$5:$M$504,0)),"Gereed","G","Loopt","L","Geblokkeerd","B","Niet van toepassing","nvt","Niet gestart","-","-"),""))</f>
        <v/>
      </c>
      <c r="V28" s="33" t="str">
        <f aca="false">IF($A28="","",IFERROR(_xlfn.SWITCH(INDEX(Voortgang!$G$5:$G$504,MATCH($A28&amp;"|"&amp;TEXT(20,"00"),Voortgang!$M$5:$M$504,0)),"Gereed","G","Loopt","L","Geblokkeerd","B","Niet van toepassing","nvt","Niet gestart","-","-"),""))</f>
        <v/>
      </c>
    </row>
    <row r="29" customFormat="false" ht="15" hidden="false" customHeight="false" outlineLevel="0" collapsed="false">
      <c r="A29" s="27" t="str">
        <f aca="false">IFERROR(IF(INDEX(Overzicht!$C$5:$C$44,25)="","",IF(INDEX(Overzicht!$C$5:$C$44,25)="Vastgoedontwikkelaar",INDEX(Overzicht!$A$5:$A$44,25),"")),"")</f>
        <v/>
      </c>
      <c r="B29" s="27" t="str">
        <f aca="false">IF($A29="","",INDEX(Overzicht!$B$5:$B$44,25))</f>
        <v/>
      </c>
      <c r="C29" s="33" t="str">
        <f aca="false">IF($A29="","",IFERROR(_xlfn.SWITCH(INDEX(Voortgang!$G$5:$G$504,MATCH($A29&amp;"|"&amp;TEXT(1,"00"),Voortgang!$M$5:$M$504,0)),"Gereed","G","Loopt","L","Geblokkeerd","B","Niet van toepassing","nvt","Niet gestart","-","-"),""))</f>
        <v/>
      </c>
      <c r="D29" s="33" t="str">
        <f aca="false">IF($A29="","",IFERROR(_xlfn.SWITCH(INDEX(Voortgang!$G$5:$G$504,MATCH($A29&amp;"|"&amp;TEXT(2,"00"),Voortgang!$M$5:$M$504,0)),"Gereed","G","Loopt","L","Geblokkeerd","B","Niet van toepassing","nvt","Niet gestart","-","-"),""))</f>
        <v/>
      </c>
      <c r="E29" s="33" t="str">
        <f aca="false">IF($A29="","",IFERROR(_xlfn.SWITCH(INDEX(Voortgang!$G$5:$G$504,MATCH($A29&amp;"|"&amp;TEXT(3,"00"),Voortgang!$M$5:$M$504,0)),"Gereed","G","Loopt","L","Geblokkeerd","B","Niet van toepassing","nvt","Niet gestart","-","-"),""))</f>
        <v/>
      </c>
      <c r="F29" s="33" t="str">
        <f aca="false">IF($A29="","",IFERROR(_xlfn.SWITCH(INDEX(Voortgang!$G$5:$G$504,MATCH($A29&amp;"|"&amp;TEXT(4,"00"),Voortgang!$M$5:$M$504,0)),"Gereed","G","Loopt","L","Geblokkeerd","B","Niet van toepassing","nvt","Niet gestart","-","-"),""))</f>
        <v/>
      </c>
      <c r="G29" s="33" t="str">
        <f aca="false">IF($A29="","",IFERROR(_xlfn.SWITCH(INDEX(Voortgang!$G$5:$G$504,MATCH($A29&amp;"|"&amp;TEXT(5,"00"),Voortgang!$M$5:$M$504,0)),"Gereed","G","Loopt","L","Geblokkeerd","B","Niet van toepassing","nvt","Niet gestart","-","-"),""))</f>
        <v/>
      </c>
      <c r="H29" s="33" t="str">
        <f aca="false">IF($A29="","",IFERROR(_xlfn.SWITCH(INDEX(Voortgang!$G$5:$G$504,MATCH($A29&amp;"|"&amp;TEXT(6,"00"),Voortgang!$M$5:$M$504,0)),"Gereed","G","Loopt","L","Geblokkeerd","B","Niet van toepassing","nvt","Niet gestart","-","-"),""))</f>
        <v/>
      </c>
      <c r="I29" s="33" t="str">
        <f aca="false">IF($A29="","",IFERROR(_xlfn.SWITCH(INDEX(Voortgang!$G$5:$G$504,MATCH($A29&amp;"|"&amp;TEXT(7,"00"),Voortgang!$M$5:$M$504,0)),"Gereed","G","Loopt","L","Geblokkeerd","B","Niet van toepassing","nvt","Niet gestart","-","-"),""))</f>
        <v/>
      </c>
      <c r="J29" s="33" t="str">
        <f aca="false">IF($A29="","",IFERROR(_xlfn.SWITCH(INDEX(Voortgang!$G$5:$G$504,MATCH($A29&amp;"|"&amp;TEXT(8,"00"),Voortgang!$M$5:$M$504,0)),"Gereed","G","Loopt","L","Geblokkeerd","B","Niet van toepassing","nvt","Niet gestart","-","-"),""))</f>
        <v/>
      </c>
      <c r="K29" s="33" t="str">
        <f aca="false">IF($A29="","",IFERROR(_xlfn.SWITCH(INDEX(Voortgang!$G$5:$G$504,MATCH($A29&amp;"|"&amp;TEXT(9,"00"),Voortgang!$M$5:$M$504,0)),"Gereed","G","Loopt","L","Geblokkeerd","B","Niet van toepassing","nvt","Niet gestart","-","-"),""))</f>
        <v/>
      </c>
      <c r="L29" s="33" t="str">
        <f aca="false">IF($A29="","",IFERROR(_xlfn.SWITCH(INDEX(Voortgang!$G$5:$G$504,MATCH($A29&amp;"|"&amp;TEXT(10,"00"),Voortgang!$M$5:$M$504,0)),"Gereed","G","Loopt","L","Geblokkeerd","B","Niet van toepassing","nvt","Niet gestart","-","-"),""))</f>
        <v/>
      </c>
      <c r="M29" s="33" t="str">
        <f aca="false">IF($A29="","",IFERROR(_xlfn.SWITCH(INDEX(Voortgang!$G$5:$G$504,MATCH($A29&amp;"|"&amp;TEXT(11,"00"),Voortgang!$M$5:$M$504,0)),"Gereed","G","Loopt","L","Geblokkeerd","B","Niet van toepassing","nvt","Niet gestart","-","-"),""))</f>
        <v/>
      </c>
      <c r="N29" s="33" t="str">
        <f aca="false">IF($A29="","",IFERROR(_xlfn.SWITCH(INDEX(Voortgang!$G$5:$G$504,MATCH($A29&amp;"|"&amp;TEXT(12,"00"),Voortgang!$M$5:$M$504,0)),"Gereed","G","Loopt","L","Geblokkeerd","B","Niet van toepassing","nvt","Niet gestart","-","-"),""))</f>
        <v/>
      </c>
      <c r="O29" s="33" t="str">
        <f aca="false">IF($A29="","",IFERROR(_xlfn.SWITCH(INDEX(Voortgang!$G$5:$G$504,MATCH($A29&amp;"|"&amp;TEXT(13,"00"),Voortgang!$M$5:$M$504,0)),"Gereed","G","Loopt","L","Geblokkeerd","B","Niet van toepassing","nvt","Niet gestart","-","-"),""))</f>
        <v/>
      </c>
      <c r="P29" s="33" t="str">
        <f aca="false">IF($A29="","",IFERROR(_xlfn.SWITCH(INDEX(Voortgang!$G$5:$G$504,MATCH($A29&amp;"|"&amp;TEXT(14,"00"),Voortgang!$M$5:$M$504,0)),"Gereed","G","Loopt","L","Geblokkeerd","B","Niet van toepassing","nvt","Niet gestart","-","-"),""))</f>
        <v/>
      </c>
      <c r="Q29" s="33" t="str">
        <f aca="false">IF($A29="","",IFERROR(_xlfn.SWITCH(INDEX(Voortgang!$G$5:$G$504,MATCH($A29&amp;"|"&amp;TEXT(15,"00"),Voortgang!$M$5:$M$504,0)),"Gereed","G","Loopt","L","Geblokkeerd","B","Niet van toepassing","nvt","Niet gestart","-","-"),""))</f>
        <v/>
      </c>
      <c r="R29" s="33" t="str">
        <f aca="false">IF($A29="","",IFERROR(_xlfn.SWITCH(INDEX(Voortgang!$G$5:$G$504,MATCH($A29&amp;"|"&amp;TEXT(16,"00"),Voortgang!$M$5:$M$504,0)),"Gereed","G","Loopt","L","Geblokkeerd","B","Niet van toepassing","nvt","Niet gestart","-","-"),""))</f>
        <v/>
      </c>
      <c r="S29" s="33" t="str">
        <f aca="false">IF($A29="","",IFERROR(_xlfn.SWITCH(INDEX(Voortgang!$G$5:$G$504,MATCH($A29&amp;"|"&amp;TEXT(17,"00"),Voortgang!$M$5:$M$504,0)),"Gereed","G","Loopt","L","Geblokkeerd","B","Niet van toepassing","nvt","Niet gestart","-","-"),""))</f>
        <v/>
      </c>
      <c r="T29" s="33" t="str">
        <f aca="false">IF($A29="","",IFERROR(_xlfn.SWITCH(INDEX(Voortgang!$G$5:$G$504,MATCH($A29&amp;"|"&amp;TEXT(18,"00"),Voortgang!$M$5:$M$504,0)),"Gereed","G","Loopt","L","Geblokkeerd","B","Niet van toepassing","nvt","Niet gestart","-","-"),""))</f>
        <v/>
      </c>
      <c r="U29" s="33" t="str">
        <f aca="false">IF($A29="","",IFERROR(_xlfn.SWITCH(INDEX(Voortgang!$G$5:$G$504,MATCH($A29&amp;"|"&amp;TEXT(19,"00"),Voortgang!$M$5:$M$504,0)),"Gereed","G","Loopt","L","Geblokkeerd","B","Niet van toepassing","nvt","Niet gestart","-","-"),""))</f>
        <v/>
      </c>
      <c r="V29" s="33" t="str">
        <f aca="false">IF($A29="","",IFERROR(_xlfn.SWITCH(INDEX(Voortgang!$G$5:$G$504,MATCH($A29&amp;"|"&amp;TEXT(20,"00"),Voortgang!$M$5:$M$504,0)),"Gereed","G","Loopt","L","Geblokkeerd","B","Niet van toepassing","nvt","Niet gestart","-","-"),""))</f>
        <v/>
      </c>
    </row>
  </sheetData>
  <conditionalFormatting sqref="C5:V29">
    <cfRule type="cellIs" priority="2" operator="equal" aboveAverage="0" equalAverage="0" bottom="0" percent="0" rank="0" text="" dxfId="7">
      <formula>"G"</formula>
    </cfRule>
    <cfRule type="cellIs" priority="3" operator="equal" aboveAverage="0" equalAverage="0" bottom="0" percent="0" rank="0" text="" dxfId="8">
      <formula>"L"</formula>
    </cfRule>
    <cfRule type="cellIs" priority="4" operator="equal" aboveAverage="0" equalAverage="0" bottom="0" percent="0" rank="0" text="" dxfId="9">
      <formula>"B"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21" min="3" style="0" width="4.5"/>
  </cols>
  <sheetData>
    <row r="1" customFormat="false" ht="22.05" hidden="false" customHeight="false" outlineLevel="0" collapsed="false">
      <c r="A1" s="6" t="s">
        <v>510</v>
      </c>
    </row>
    <row r="2" customFormat="false" ht="15" hidden="false" customHeight="false" outlineLevel="0" collapsed="false">
      <c r="A2" s="7" t="s">
        <v>489</v>
      </c>
    </row>
    <row r="4" customFormat="false" ht="199.5" hidden="false" customHeight="true" outlineLevel="0" collapsed="false">
      <c r="A4" s="31" t="s">
        <v>192</v>
      </c>
      <c r="B4" s="31" t="s">
        <v>194</v>
      </c>
      <c r="C4" s="34" t="s">
        <v>511</v>
      </c>
      <c r="D4" s="34" t="s">
        <v>512</v>
      </c>
      <c r="E4" s="34" t="s">
        <v>513</v>
      </c>
      <c r="F4" s="34" t="s">
        <v>514</v>
      </c>
      <c r="G4" s="34" t="s">
        <v>515</v>
      </c>
      <c r="H4" s="34" t="s">
        <v>516</v>
      </c>
      <c r="I4" s="34" t="s">
        <v>517</v>
      </c>
      <c r="J4" s="34" t="s">
        <v>518</v>
      </c>
      <c r="K4" s="34" t="s">
        <v>519</v>
      </c>
      <c r="L4" s="34" t="s">
        <v>520</v>
      </c>
      <c r="M4" s="34" t="s">
        <v>521</v>
      </c>
      <c r="N4" s="34" t="s">
        <v>522</v>
      </c>
      <c r="O4" s="34" t="s">
        <v>523</v>
      </c>
      <c r="P4" s="34" t="s">
        <v>524</v>
      </c>
      <c r="Q4" s="34" t="s">
        <v>525</v>
      </c>
      <c r="R4" s="34" t="s">
        <v>526</v>
      </c>
      <c r="S4" s="34" t="s">
        <v>527</v>
      </c>
      <c r="T4" s="34" t="s">
        <v>528</v>
      </c>
      <c r="U4" s="34" t="s">
        <v>529</v>
      </c>
    </row>
    <row r="5" customFormat="false" ht="15" hidden="false" customHeight="false" outlineLevel="0" collapsed="false">
      <c r="A5" s="27" t="str">
        <f aca="false">IFERROR(IF(INDEX(Overzicht!$C$5:$C$44,1)="","",IF(INDEX(Overzicht!$C$5:$C$44,1)="Energiehub",INDEX(Overzicht!$A$5:$A$44,1),"")),"")</f>
        <v/>
      </c>
      <c r="B5" s="27" t="str">
        <f aca="false">IF($A5="","",INDEX(Overzicht!$B$5:$B$44,1))</f>
        <v/>
      </c>
      <c r="C5" s="33" t="str">
        <f aca="false">IF($A5="","",IFERROR(_xlfn.SWITCH(INDEX(Voortgang!$G$5:$G$504,MATCH($A5&amp;"|"&amp;TEXT(1,"00"),Voortgang!$M$5:$M$504,0)),"Gereed","G","Loopt","L","Geblokkeerd","B","Niet van toepassing","nvt","Niet gestart","-","-"),""))</f>
        <v/>
      </c>
      <c r="D5" s="33" t="str">
        <f aca="false">IF($A5="","",IFERROR(_xlfn.SWITCH(INDEX(Voortgang!$G$5:$G$504,MATCH($A5&amp;"|"&amp;TEXT(2,"00"),Voortgang!$M$5:$M$504,0)),"Gereed","G","Loopt","L","Geblokkeerd","B","Niet van toepassing","nvt","Niet gestart","-","-"),""))</f>
        <v/>
      </c>
      <c r="E5" s="33" t="str">
        <f aca="false">IF($A5="","",IFERROR(_xlfn.SWITCH(INDEX(Voortgang!$G$5:$G$504,MATCH($A5&amp;"|"&amp;TEXT(3,"00"),Voortgang!$M$5:$M$504,0)),"Gereed","G","Loopt","L","Geblokkeerd","B","Niet van toepassing","nvt","Niet gestart","-","-"),""))</f>
        <v/>
      </c>
      <c r="F5" s="33" t="str">
        <f aca="false">IF($A5="","",IFERROR(_xlfn.SWITCH(INDEX(Voortgang!$G$5:$G$504,MATCH($A5&amp;"|"&amp;TEXT(4,"00"),Voortgang!$M$5:$M$504,0)),"Gereed","G","Loopt","L","Geblokkeerd","B","Niet van toepassing","nvt","Niet gestart","-","-"),""))</f>
        <v/>
      </c>
      <c r="G5" s="33" t="str">
        <f aca="false">IF($A5="","",IFERROR(_xlfn.SWITCH(INDEX(Voortgang!$G$5:$G$504,MATCH($A5&amp;"|"&amp;TEXT(5,"00"),Voortgang!$M$5:$M$504,0)),"Gereed","G","Loopt","L","Geblokkeerd","B","Niet van toepassing","nvt","Niet gestart","-","-"),""))</f>
        <v/>
      </c>
      <c r="H5" s="33" t="str">
        <f aca="false">IF($A5="","",IFERROR(_xlfn.SWITCH(INDEX(Voortgang!$G$5:$G$504,MATCH($A5&amp;"|"&amp;TEXT(6,"00"),Voortgang!$M$5:$M$504,0)),"Gereed","G","Loopt","L","Geblokkeerd","B","Niet van toepassing","nvt","Niet gestart","-","-"),""))</f>
        <v/>
      </c>
      <c r="I5" s="33" t="str">
        <f aca="false">IF($A5="","",IFERROR(_xlfn.SWITCH(INDEX(Voortgang!$G$5:$G$504,MATCH($A5&amp;"|"&amp;TEXT(7,"00"),Voortgang!$M$5:$M$504,0)),"Gereed","G","Loopt","L","Geblokkeerd","B","Niet van toepassing","nvt","Niet gestart","-","-"),""))</f>
        <v/>
      </c>
      <c r="J5" s="33" t="str">
        <f aca="false">IF($A5="","",IFERROR(_xlfn.SWITCH(INDEX(Voortgang!$G$5:$G$504,MATCH($A5&amp;"|"&amp;TEXT(8,"00"),Voortgang!$M$5:$M$504,0)),"Gereed","G","Loopt","L","Geblokkeerd","B","Niet van toepassing","nvt","Niet gestart","-","-"),""))</f>
        <v/>
      </c>
      <c r="K5" s="33" t="str">
        <f aca="false">IF($A5="","",IFERROR(_xlfn.SWITCH(INDEX(Voortgang!$G$5:$G$504,MATCH($A5&amp;"|"&amp;TEXT(9,"00"),Voortgang!$M$5:$M$504,0)),"Gereed","G","Loopt","L","Geblokkeerd","B","Niet van toepassing","nvt","Niet gestart","-","-"),""))</f>
        <v/>
      </c>
      <c r="L5" s="33" t="str">
        <f aca="false">IF($A5="","",IFERROR(_xlfn.SWITCH(INDEX(Voortgang!$G$5:$G$504,MATCH($A5&amp;"|"&amp;TEXT(10,"00"),Voortgang!$M$5:$M$504,0)),"Gereed","G","Loopt","L","Geblokkeerd","B","Niet van toepassing","nvt","Niet gestart","-","-"),""))</f>
        <v/>
      </c>
      <c r="M5" s="33" t="str">
        <f aca="false">IF($A5="","",IFERROR(_xlfn.SWITCH(INDEX(Voortgang!$G$5:$G$504,MATCH($A5&amp;"|"&amp;TEXT(11,"00"),Voortgang!$M$5:$M$504,0)),"Gereed","G","Loopt","L","Geblokkeerd","B","Niet van toepassing","nvt","Niet gestart","-","-"),""))</f>
        <v/>
      </c>
      <c r="N5" s="33" t="str">
        <f aca="false">IF($A5="","",IFERROR(_xlfn.SWITCH(INDEX(Voortgang!$G$5:$G$504,MATCH($A5&amp;"|"&amp;TEXT(12,"00"),Voortgang!$M$5:$M$504,0)),"Gereed","G","Loopt","L","Geblokkeerd","B","Niet van toepassing","nvt","Niet gestart","-","-"),""))</f>
        <v/>
      </c>
      <c r="O5" s="33" t="str">
        <f aca="false">IF($A5="","",IFERROR(_xlfn.SWITCH(INDEX(Voortgang!$G$5:$G$504,MATCH($A5&amp;"|"&amp;TEXT(13,"00"),Voortgang!$M$5:$M$504,0)),"Gereed","G","Loopt","L","Geblokkeerd","B","Niet van toepassing","nvt","Niet gestart","-","-"),""))</f>
        <v/>
      </c>
      <c r="P5" s="33" t="str">
        <f aca="false">IF($A5="","",IFERROR(_xlfn.SWITCH(INDEX(Voortgang!$G$5:$G$504,MATCH($A5&amp;"|"&amp;TEXT(14,"00"),Voortgang!$M$5:$M$504,0)),"Gereed","G","Loopt","L","Geblokkeerd","B","Niet van toepassing","nvt","Niet gestart","-","-"),""))</f>
        <v/>
      </c>
      <c r="Q5" s="33" t="str">
        <f aca="false">IF($A5="","",IFERROR(_xlfn.SWITCH(INDEX(Voortgang!$G$5:$G$504,MATCH($A5&amp;"|"&amp;TEXT(15,"00"),Voortgang!$M$5:$M$504,0)),"Gereed","G","Loopt","L","Geblokkeerd","B","Niet van toepassing","nvt","Niet gestart","-","-"),""))</f>
        <v/>
      </c>
      <c r="R5" s="33" t="str">
        <f aca="false">IF($A5="","",IFERROR(_xlfn.SWITCH(INDEX(Voortgang!$G$5:$G$504,MATCH($A5&amp;"|"&amp;TEXT(16,"00"),Voortgang!$M$5:$M$504,0)),"Gereed","G","Loopt","L","Geblokkeerd","B","Niet van toepassing","nvt","Niet gestart","-","-"),""))</f>
        <v/>
      </c>
      <c r="S5" s="33" t="str">
        <f aca="false">IF($A5="","",IFERROR(_xlfn.SWITCH(INDEX(Voortgang!$G$5:$G$504,MATCH($A5&amp;"|"&amp;TEXT(17,"00"),Voortgang!$M$5:$M$504,0)),"Gereed","G","Loopt","L","Geblokkeerd","B","Niet van toepassing","nvt","Niet gestart","-","-"),""))</f>
        <v/>
      </c>
      <c r="T5" s="33" t="str">
        <f aca="false">IF($A5="","",IFERROR(_xlfn.SWITCH(INDEX(Voortgang!$G$5:$G$504,MATCH($A5&amp;"|"&amp;TEXT(18,"00"),Voortgang!$M$5:$M$504,0)),"Gereed","G","Loopt","L","Geblokkeerd","B","Niet van toepassing","nvt","Niet gestart","-","-"),""))</f>
        <v/>
      </c>
      <c r="U5" s="33" t="str">
        <f aca="false">IF($A5="","",IFERROR(_xlfn.SWITCH(INDEX(Voortgang!$G$5:$G$504,MATCH($A5&amp;"|"&amp;TEXT(19,"00"),Voortgang!$M$5:$M$504,0)),"Gereed","G","Loopt","L","Geblokkeerd","B","Niet van toepassing","nvt","Niet gestart","-","-"),""))</f>
        <v/>
      </c>
    </row>
    <row r="6" customFormat="false" ht="15" hidden="false" customHeight="false" outlineLevel="0" collapsed="false">
      <c r="A6" s="27" t="str">
        <f aca="false">IFERROR(IF(INDEX(Overzicht!$C$5:$C$44,2)="","",IF(INDEX(Overzicht!$C$5:$C$44,2)="Energiehub",INDEX(Overzicht!$A$5:$A$44,2),"")),"")</f>
        <v>LEAD-002</v>
      </c>
      <c r="B6" s="27" t="str">
        <f aca="false">IF($A6="","",INDEX(Overzicht!$B$5:$B$44,2))</f>
        <v>Bedrijventerrein Boekelermeer</v>
      </c>
      <c r="C6" s="33" t="str">
        <f aca="false">IF($A6="","",IFERROR(_xlfn.SWITCH(INDEX(Voortgang!$G$5:$G$504,MATCH($A6&amp;"|"&amp;TEXT(1,"00"),Voortgang!$M$5:$M$504,0)),"Gereed","G","Loopt","L","Geblokkeerd","B","Niet van toepassing","nvt","Niet gestart","-","-"),""))</f>
        <v>G</v>
      </c>
      <c r="D6" s="33" t="str">
        <f aca="false">IF($A6="","",IFERROR(_xlfn.SWITCH(INDEX(Voortgang!$G$5:$G$504,MATCH($A6&amp;"|"&amp;TEXT(2,"00"),Voortgang!$M$5:$M$504,0)),"Gereed","G","Loopt","L","Geblokkeerd","B","Niet van toepassing","nvt","Niet gestart","-","-"),""))</f>
        <v>L</v>
      </c>
      <c r="E6" s="33" t="str">
        <f aca="false">IF($A6="","",IFERROR(_xlfn.SWITCH(INDEX(Voortgang!$G$5:$G$504,MATCH($A6&amp;"|"&amp;TEXT(3,"00"),Voortgang!$M$5:$M$504,0)),"Gereed","G","Loopt","L","Geblokkeerd","B","Niet van toepassing","nvt","Niet gestart","-","-"),""))</f>
        <v>-</v>
      </c>
      <c r="F6" s="33" t="str">
        <f aca="false">IF($A6="","",IFERROR(_xlfn.SWITCH(INDEX(Voortgang!$G$5:$G$504,MATCH($A6&amp;"|"&amp;TEXT(4,"00"),Voortgang!$M$5:$M$504,0)),"Gereed","G","Loopt","L","Geblokkeerd","B","Niet van toepassing","nvt","Niet gestart","-","-"),""))</f>
        <v>L</v>
      </c>
      <c r="G6" s="33" t="str">
        <f aca="false">IF($A6="","",IFERROR(_xlfn.SWITCH(INDEX(Voortgang!$G$5:$G$504,MATCH($A6&amp;"|"&amp;TEXT(5,"00"),Voortgang!$M$5:$M$504,0)),"Gereed","G","Loopt","L","Geblokkeerd","B","Niet van toepassing","nvt","Niet gestart","-","-"),""))</f>
        <v>-</v>
      </c>
      <c r="H6" s="33" t="str">
        <f aca="false">IF($A6="","",IFERROR(_xlfn.SWITCH(INDEX(Voortgang!$G$5:$G$504,MATCH($A6&amp;"|"&amp;TEXT(6,"00"),Voortgang!$M$5:$M$504,0)),"Gereed","G","Loopt","L","Geblokkeerd","B","Niet van toepassing","nvt","Niet gestart","-","-"),""))</f>
        <v>-</v>
      </c>
      <c r="I6" s="33" t="str">
        <f aca="false">IF($A6="","",IFERROR(_xlfn.SWITCH(INDEX(Voortgang!$G$5:$G$504,MATCH($A6&amp;"|"&amp;TEXT(7,"00"),Voortgang!$M$5:$M$504,0)),"Gereed","G","Loopt","L","Geblokkeerd","B","Niet van toepassing","nvt","Niet gestart","-","-"),""))</f>
        <v>-</v>
      </c>
      <c r="J6" s="33" t="str">
        <f aca="false">IF($A6="","",IFERROR(_xlfn.SWITCH(INDEX(Voortgang!$G$5:$G$504,MATCH($A6&amp;"|"&amp;TEXT(8,"00"),Voortgang!$M$5:$M$504,0)),"Gereed","G","Loopt","L","Geblokkeerd","B","Niet van toepassing","nvt","Niet gestart","-","-"),""))</f>
        <v>-</v>
      </c>
      <c r="K6" s="33" t="str">
        <f aca="false">IF($A6="","",IFERROR(_xlfn.SWITCH(INDEX(Voortgang!$G$5:$G$504,MATCH($A6&amp;"|"&amp;TEXT(9,"00"),Voortgang!$M$5:$M$504,0)),"Gereed","G","Loopt","L","Geblokkeerd","B","Niet van toepassing","nvt","Niet gestart","-","-"),""))</f>
        <v>-</v>
      </c>
      <c r="L6" s="33" t="str">
        <f aca="false">IF($A6="","",IFERROR(_xlfn.SWITCH(INDEX(Voortgang!$G$5:$G$504,MATCH($A6&amp;"|"&amp;TEXT(10,"00"),Voortgang!$M$5:$M$504,0)),"Gereed","G","Loopt","L","Geblokkeerd","B","Niet van toepassing","nvt","Niet gestart","-","-"),""))</f>
        <v>-</v>
      </c>
      <c r="M6" s="33" t="str">
        <f aca="false">IF($A6="","",IFERROR(_xlfn.SWITCH(INDEX(Voortgang!$G$5:$G$504,MATCH($A6&amp;"|"&amp;TEXT(11,"00"),Voortgang!$M$5:$M$504,0)),"Gereed","G","Loopt","L","Geblokkeerd","B","Niet van toepassing","nvt","Niet gestart","-","-"),""))</f>
        <v>-</v>
      </c>
      <c r="N6" s="33" t="str">
        <f aca="false">IF($A6="","",IFERROR(_xlfn.SWITCH(INDEX(Voortgang!$G$5:$G$504,MATCH($A6&amp;"|"&amp;TEXT(12,"00"),Voortgang!$M$5:$M$504,0)),"Gereed","G","Loopt","L","Geblokkeerd","B","Niet van toepassing","nvt","Niet gestart","-","-"),""))</f>
        <v>-</v>
      </c>
      <c r="O6" s="33" t="str">
        <f aca="false">IF($A6="","",IFERROR(_xlfn.SWITCH(INDEX(Voortgang!$G$5:$G$504,MATCH($A6&amp;"|"&amp;TEXT(13,"00"),Voortgang!$M$5:$M$504,0)),"Gereed","G","Loopt","L","Geblokkeerd","B","Niet van toepassing","nvt","Niet gestart","-","-"),""))</f>
        <v>-</v>
      </c>
      <c r="P6" s="33" t="str">
        <f aca="false">IF($A6="","",IFERROR(_xlfn.SWITCH(INDEX(Voortgang!$G$5:$G$504,MATCH($A6&amp;"|"&amp;TEXT(14,"00"),Voortgang!$M$5:$M$504,0)),"Gereed","G","Loopt","L","Geblokkeerd","B","Niet van toepassing","nvt","Niet gestart","-","-"),""))</f>
        <v>-</v>
      </c>
      <c r="Q6" s="33" t="str">
        <f aca="false">IF($A6="","",IFERROR(_xlfn.SWITCH(INDEX(Voortgang!$G$5:$G$504,MATCH($A6&amp;"|"&amp;TEXT(15,"00"),Voortgang!$M$5:$M$504,0)),"Gereed","G","Loopt","L","Geblokkeerd","B","Niet van toepassing","nvt","Niet gestart","-","-"),""))</f>
        <v>-</v>
      </c>
      <c r="R6" s="33" t="str">
        <f aca="false">IF($A6="","",IFERROR(_xlfn.SWITCH(INDEX(Voortgang!$G$5:$G$504,MATCH($A6&amp;"|"&amp;TEXT(16,"00"),Voortgang!$M$5:$M$504,0)),"Gereed","G","Loopt","L","Geblokkeerd","B","Niet van toepassing","nvt","Niet gestart","-","-"),""))</f>
        <v>-</v>
      </c>
      <c r="S6" s="33" t="str">
        <f aca="false">IF($A6="","",IFERROR(_xlfn.SWITCH(INDEX(Voortgang!$G$5:$G$504,MATCH($A6&amp;"|"&amp;TEXT(17,"00"),Voortgang!$M$5:$M$504,0)),"Gereed","G","Loopt","L","Geblokkeerd","B","Niet van toepassing","nvt","Niet gestart","-","-"),""))</f>
        <v>-</v>
      </c>
      <c r="T6" s="33" t="str">
        <f aca="false">IF($A6="","",IFERROR(_xlfn.SWITCH(INDEX(Voortgang!$G$5:$G$504,MATCH($A6&amp;"|"&amp;TEXT(18,"00"),Voortgang!$M$5:$M$504,0)),"Gereed","G","Loopt","L","Geblokkeerd","B","Niet van toepassing","nvt","Niet gestart","-","-"),""))</f>
        <v>-</v>
      </c>
      <c r="U6" s="33" t="str">
        <f aca="false">IF($A6="","",IFERROR(_xlfn.SWITCH(INDEX(Voortgang!$G$5:$G$504,MATCH($A6&amp;"|"&amp;TEXT(19,"00"),Voortgang!$M$5:$M$504,0)),"Gereed","G","Loopt","L","Geblokkeerd","B","Niet van toepassing","nvt","Niet gestart","-","-"),""))</f>
        <v>-</v>
      </c>
    </row>
    <row r="7" customFormat="false" ht="15" hidden="false" customHeight="false" outlineLevel="0" collapsed="false">
      <c r="A7" s="27" t="str">
        <f aca="false">IFERROR(IF(INDEX(Overzicht!$C$5:$C$44,3)="","",IF(INDEX(Overzicht!$C$5:$C$44,3)="Energiehub",INDEX(Overzicht!$A$5:$A$44,3),"")),"")</f>
        <v/>
      </c>
      <c r="B7" s="27" t="str">
        <f aca="false">IF($A7="","",INDEX(Overzicht!$B$5:$B$44,3))</f>
        <v/>
      </c>
      <c r="C7" s="33" t="str">
        <f aca="false">IF($A7="","",IFERROR(_xlfn.SWITCH(INDEX(Voortgang!$G$5:$G$504,MATCH($A7&amp;"|"&amp;TEXT(1,"00"),Voortgang!$M$5:$M$504,0)),"Gereed","G","Loopt","L","Geblokkeerd","B","Niet van toepassing","nvt","Niet gestart","-","-"),""))</f>
        <v/>
      </c>
      <c r="D7" s="33" t="str">
        <f aca="false">IF($A7="","",IFERROR(_xlfn.SWITCH(INDEX(Voortgang!$G$5:$G$504,MATCH($A7&amp;"|"&amp;TEXT(2,"00"),Voortgang!$M$5:$M$504,0)),"Gereed","G","Loopt","L","Geblokkeerd","B","Niet van toepassing","nvt","Niet gestart","-","-"),""))</f>
        <v/>
      </c>
      <c r="E7" s="33" t="str">
        <f aca="false">IF($A7="","",IFERROR(_xlfn.SWITCH(INDEX(Voortgang!$G$5:$G$504,MATCH($A7&amp;"|"&amp;TEXT(3,"00"),Voortgang!$M$5:$M$504,0)),"Gereed","G","Loopt","L","Geblokkeerd","B","Niet van toepassing","nvt","Niet gestart","-","-"),""))</f>
        <v/>
      </c>
      <c r="F7" s="33" t="str">
        <f aca="false">IF($A7="","",IFERROR(_xlfn.SWITCH(INDEX(Voortgang!$G$5:$G$504,MATCH($A7&amp;"|"&amp;TEXT(4,"00"),Voortgang!$M$5:$M$504,0)),"Gereed","G","Loopt","L","Geblokkeerd","B","Niet van toepassing","nvt","Niet gestart","-","-"),""))</f>
        <v/>
      </c>
      <c r="G7" s="33" t="str">
        <f aca="false">IF($A7="","",IFERROR(_xlfn.SWITCH(INDEX(Voortgang!$G$5:$G$504,MATCH($A7&amp;"|"&amp;TEXT(5,"00"),Voortgang!$M$5:$M$504,0)),"Gereed","G","Loopt","L","Geblokkeerd","B","Niet van toepassing","nvt","Niet gestart","-","-"),""))</f>
        <v/>
      </c>
      <c r="H7" s="33" t="str">
        <f aca="false">IF($A7="","",IFERROR(_xlfn.SWITCH(INDEX(Voortgang!$G$5:$G$504,MATCH($A7&amp;"|"&amp;TEXT(6,"00"),Voortgang!$M$5:$M$504,0)),"Gereed","G","Loopt","L","Geblokkeerd","B","Niet van toepassing","nvt","Niet gestart","-","-"),""))</f>
        <v/>
      </c>
      <c r="I7" s="33" t="str">
        <f aca="false">IF($A7="","",IFERROR(_xlfn.SWITCH(INDEX(Voortgang!$G$5:$G$504,MATCH($A7&amp;"|"&amp;TEXT(7,"00"),Voortgang!$M$5:$M$504,0)),"Gereed","G","Loopt","L","Geblokkeerd","B","Niet van toepassing","nvt","Niet gestart","-","-"),""))</f>
        <v/>
      </c>
      <c r="J7" s="33" t="str">
        <f aca="false">IF($A7="","",IFERROR(_xlfn.SWITCH(INDEX(Voortgang!$G$5:$G$504,MATCH($A7&amp;"|"&amp;TEXT(8,"00"),Voortgang!$M$5:$M$504,0)),"Gereed","G","Loopt","L","Geblokkeerd","B","Niet van toepassing","nvt","Niet gestart","-","-"),""))</f>
        <v/>
      </c>
      <c r="K7" s="33" t="str">
        <f aca="false">IF($A7="","",IFERROR(_xlfn.SWITCH(INDEX(Voortgang!$G$5:$G$504,MATCH($A7&amp;"|"&amp;TEXT(9,"00"),Voortgang!$M$5:$M$504,0)),"Gereed","G","Loopt","L","Geblokkeerd","B","Niet van toepassing","nvt","Niet gestart","-","-"),""))</f>
        <v/>
      </c>
      <c r="L7" s="33" t="str">
        <f aca="false">IF($A7="","",IFERROR(_xlfn.SWITCH(INDEX(Voortgang!$G$5:$G$504,MATCH($A7&amp;"|"&amp;TEXT(10,"00"),Voortgang!$M$5:$M$504,0)),"Gereed","G","Loopt","L","Geblokkeerd","B","Niet van toepassing","nvt","Niet gestart","-","-"),""))</f>
        <v/>
      </c>
      <c r="M7" s="33" t="str">
        <f aca="false">IF($A7="","",IFERROR(_xlfn.SWITCH(INDEX(Voortgang!$G$5:$G$504,MATCH($A7&amp;"|"&amp;TEXT(11,"00"),Voortgang!$M$5:$M$504,0)),"Gereed","G","Loopt","L","Geblokkeerd","B","Niet van toepassing","nvt","Niet gestart","-","-"),""))</f>
        <v/>
      </c>
      <c r="N7" s="33" t="str">
        <f aca="false">IF($A7="","",IFERROR(_xlfn.SWITCH(INDEX(Voortgang!$G$5:$G$504,MATCH($A7&amp;"|"&amp;TEXT(12,"00"),Voortgang!$M$5:$M$504,0)),"Gereed","G","Loopt","L","Geblokkeerd","B","Niet van toepassing","nvt","Niet gestart","-","-"),""))</f>
        <v/>
      </c>
      <c r="O7" s="33" t="str">
        <f aca="false">IF($A7="","",IFERROR(_xlfn.SWITCH(INDEX(Voortgang!$G$5:$G$504,MATCH($A7&amp;"|"&amp;TEXT(13,"00"),Voortgang!$M$5:$M$504,0)),"Gereed","G","Loopt","L","Geblokkeerd","B","Niet van toepassing","nvt","Niet gestart","-","-"),""))</f>
        <v/>
      </c>
      <c r="P7" s="33" t="str">
        <f aca="false">IF($A7="","",IFERROR(_xlfn.SWITCH(INDEX(Voortgang!$G$5:$G$504,MATCH($A7&amp;"|"&amp;TEXT(14,"00"),Voortgang!$M$5:$M$504,0)),"Gereed","G","Loopt","L","Geblokkeerd","B","Niet van toepassing","nvt","Niet gestart","-","-"),""))</f>
        <v/>
      </c>
      <c r="Q7" s="33" t="str">
        <f aca="false">IF($A7="","",IFERROR(_xlfn.SWITCH(INDEX(Voortgang!$G$5:$G$504,MATCH($A7&amp;"|"&amp;TEXT(15,"00"),Voortgang!$M$5:$M$504,0)),"Gereed","G","Loopt","L","Geblokkeerd","B","Niet van toepassing","nvt","Niet gestart","-","-"),""))</f>
        <v/>
      </c>
      <c r="R7" s="33" t="str">
        <f aca="false">IF($A7="","",IFERROR(_xlfn.SWITCH(INDEX(Voortgang!$G$5:$G$504,MATCH($A7&amp;"|"&amp;TEXT(16,"00"),Voortgang!$M$5:$M$504,0)),"Gereed","G","Loopt","L","Geblokkeerd","B","Niet van toepassing","nvt","Niet gestart","-","-"),""))</f>
        <v/>
      </c>
      <c r="S7" s="33" t="str">
        <f aca="false">IF($A7="","",IFERROR(_xlfn.SWITCH(INDEX(Voortgang!$G$5:$G$504,MATCH($A7&amp;"|"&amp;TEXT(17,"00"),Voortgang!$M$5:$M$504,0)),"Gereed","G","Loopt","L","Geblokkeerd","B","Niet van toepassing","nvt","Niet gestart","-","-"),""))</f>
        <v/>
      </c>
      <c r="T7" s="33" t="str">
        <f aca="false">IF($A7="","",IFERROR(_xlfn.SWITCH(INDEX(Voortgang!$G$5:$G$504,MATCH($A7&amp;"|"&amp;TEXT(18,"00"),Voortgang!$M$5:$M$504,0)),"Gereed","G","Loopt","L","Geblokkeerd","B","Niet van toepassing","nvt","Niet gestart","-","-"),""))</f>
        <v/>
      </c>
      <c r="U7" s="33" t="str">
        <f aca="false">IF($A7="","",IFERROR(_xlfn.SWITCH(INDEX(Voortgang!$G$5:$G$504,MATCH($A7&amp;"|"&amp;TEXT(19,"00"),Voortgang!$M$5:$M$504,0)),"Gereed","G","Loopt","L","Geblokkeerd","B","Niet van toepassing","nvt","Niet gestart","-","-"),""))</f>
        <v/>
      </c>
    </row>
    <row r="8" customFormat="false" ht="15" hidden="false" customHeight="false" outlineLevel="0" collapsed="false">
      <c r="A8" s="27" t="str">
        <f aca="false">IFERROR(IF(INDEX(Overzicht!$C$5:$C$44,4)="","",IF(INDEX(Overzicht!$C$5:$C$44,4)="Energiehub",INDEX(Overzicht!$A$5:$A$44,4),"")),"")</f>
        <v/>
      </c>
      <c r="B8" s="27" t="str">
        <f aca="false">IF($A8="","",INDEX(Overzicht!$B$5:$B$44,4))</f>
        <v/>
      </c>
      <c r="C8" s="33" t="str">
        <f aca="false">IF($A8="","",IFERROR(_xlfn.SWITCH(INDEX(Voortgang!$G$5:$G$504,MATCH($A8&amp;"|"&amp;TEXT(1,"00"),Voortgang!$M$5:$M$504,0)),"Gereed","G","Loopt","L","Geblokkeerd","B","Niet van toepassing","nvt","Niet gestart","-","-"),""))</f>
        <v/>
      </c>
      <c r="D8" s="33" t="str">
        <f aca="false">IF($A8="","",IFERROR(_xlfn.SWITCH(INDEX(Voortgang!$G$5:$G$504,MATCH($A8&amp;"|"&amp;TEXT(2,"00"),Voortgang!$M$5:$M$504,0)),"Gereed","G","Loopt","L","Geblokkeerd","B","Niet van toepassing","nvt","Niet gestart","-","-"),""))</f>
        <v/>
      </c>
      <c r="E8" s="33" t="str">
        <f aca="false">IF($A8="","",IFERROR(_xlfn.SWITCH(INDEX(Voortgang!$G$5:$G$504,MATCH($A8&amp;"|"&amp;TEXT(3,"00"),Voortgang!$M$5:$M$504,0)),"Gereed","G","Loopt","L","Geblokkeerd","B","Niet van toepassing","nvt","Niet gestart","-","-"),""))</f>
        <v/>
      </c>
      <c r="F8" s="33" t="str">
        <f aca="false">IF($A8="","",IFERROR(_xlfn.SWITCH(INDEX(Voortgang!$G$5:$G$504,MATCH($A8&amp;"|"&amp;TEXT(4,"00"),Voortgang!$M$5:$M$504,0)),"Gereed","G","Loopt","L","Geblokkeerd","B","Niet van toepassing","nvt","Niet gestart","-","-"),""))</f>
        <v/>
      </c>
      <c r="G8" s="33" t="str">
        <f aca="false">IF($A8="","",IFERROR(_xlfn.SWITCH(INDEX(Voortgang!$G$5:$G$504,MATCH($A8&amp;"|"&amp;TEXT(5,"00"),Voortgang!$M$5:$M$504,0)),"Gereed","G","Loopt","L","Geblokkeerd","B","Niet van toepassing","nvt","Niet gestart","-","-"),""))</f>
        <v/>
      </c>
      <c r="H8" s="33" t="str">
        <f aca="false">IF($A8="","",IFERROR(_xlfn.SWITCH(INDEX(Voortgang!$G$5:$G$504,MATCH($A8&amp;"|"&amp;TEXT(6,"00"),Voortgang!$M$5:$M$504,0)),"Gereed","G","Loopt","L","Geblokkeerd","B","Niet van toepassing","nvt","Niet gestart","-","-"),""))</f>
        <v/>
      </c>
      <c r="I8" s="33" t="str">
        <f aca="false">IF($A8="","",IFERROR(_xlfn.SWITCH(INDEX(Voortgang!$G$5:$G$504,MATCH($A8&amp;"|"&amp;TEXT(7,"00"),Voortgang!$M$5:$M$504,0)),"Gereed","G","Loopt","L","Geblokkeerd","B","Niet van toepassing","nvt","Niet gestart","-","-"),""))</f>
        <v/>
      </c>
      <c r="J8" s="33" t="str">
        <f aca="false">IF($A8="","",IFERROR(_xlfn.SWITCH(INDEX(Voortgang!$G$5:$G$504,MATCH($A8&amp;"|"&amp;TEXT(8,"00"),Voortgang!$M$5:$M$504,0)),"Gereed","G","Loopt","L","Geblokkeerd","B","Niet van toepassing","nvt","Niet gestart","-","-"),""))</f>
        <v/>
      </c>
      <c r="K8" s="33" t="str">
        <f aca="false">IF($A8="","",IFERROR(_xlfn.SWITCH(INDEX(Voortgang!$G$5:$G$504,MATCH($A8&amp;"|"&amp;TEXT(9,"00"),Voortgang!$M$5:$M$504,0)),"Gereed","G","Loopt","L","Geblokkeerd","B","Niet van toepassing","nvt","Niet gestart","-","-"),""))</f>
        <v/>
      </c>
      <c r="L8" s="33" t="str">
        <f aca="false">IF($A8="","",IFERROR(_xlfn.SWITCH(INDEX(Voortgang!$G$5:$G$504,MATCH($A8&amp;"|"&amp;TEXT(10,"00"),Voortgang!$M$5:$M$504,0)),"Gereed","G","Loopt","L","Geblokkeerd","B","Niet van toepassing","nvt","Niet gestart","-","-"),""))</f>
        <v/>
      </c>
      <c r="M8" s="33" t="str">
        <f aca="false">IF($A8="","",IFERROR(_xlfn.SWITCH(INDEX(Voortgang!$G$5:$G$504,MATCH($A8&amp;"|"&amp;TEXT(11,"00"),Voortgang!$M$5:$M$504,0)),"Gereed","G","Loopt","L","Geblokkeerd","B","Niet van toepassing","nvt","Niet gestart","-","-"),""))</f>
        <v/>
      </c>
      <c r="N8" s="33" t="str">
        <f aca="false">IF($A8="","",IFERROR(_xlfn.SWITCH(INDEX(Voortgang!$G$5:$G$504,MATCH($A8&amp;"|"&amp;TEXT(12,"00"),Voortgang!$M$5:$M$504,0)),"Gereed","G","Loopt","L","Geblokkeerd","B","Niet van toepassing","nvt","Niet gestart","-","-"),""))</f>
        <v/>
      </c>
      <c r="O8" s="33" t="str">
        <f aca="false">IF($A8="","",IFERROR(_xlfn.SWITCH(INDEX(Voortgang!$G$5:$G$504,MATCH($A8&amp;"|"&amp;TEXT(13,"00"),Voortgang!$M$5:$M$504,0)),"Gereed","G","Loopt","L","Geblokkeerd","B","Niet van toepassing","nvt","Niet gestart","-","-"),""))</f>
        <v/>
      </c>
      <c r="P8" s="33" t="str">
        <f aca="false">IF($A8="","",IFERROR(_xlfn.SWITCH(INDEX(Voortgang!$G$5:$G$504,MATCH($A8&amp;"|"&amp;TEXT(14,"00"),Voortgang!$M$5:$M$504,0)),"Gereed","G","Loopt","L","Geblokkeerd","B","Niet van toepassing","nvt","Niet gestart","-","-"),""))</f>
        <v/>
      </c>
      <c r="Q8" s="33" t="str">
        <f aca="false">IF($A8="","",IFERROR(_xlfn.SWITCH(INDEX(Voortgang!$G$5:$G$504,MATCH($A8&amp;"|"&amp;TEXT(15,"00"),Voortgang!$M$5:$M$504,0)),"Gereed","G","Loopt","L","Geblokkeerd","B","Niet van toepassing","nvt","Niet gestart","-","-"),""))</f>
        <v/>
      </c>
      <c r="R8" s="33" t="str">
        <f aca="false">IF($A8="","",IFERROR(_xlfn.SWITCH(INDEX(Voortgang!$G$5:$G$504,MATCH($A8&amp;"|"&amp;TEXT(16,"00"),Voortgang!$M$5:$M$504,0)),"Gereed","G","Loopt","L","Geblokkeerd","B","Niet van toepassing","nvt","Niet gestart","-","-"),""))</f>
        <v/>
      </c>
      <c r="S8" s="33" t="str">
        <f aca="false">IF($A8="","",IFERROR(_xlfn.SWITCH(INDEX(Voortgang!$G$5:$G$504,MATCH($A8&amp;"|"&amp;TEXT(17,"00"),Voortgang!$M$5:$M$504,0)),"Gereed","G","Loopt","L","Geblokkeerd","B","Niet van toepassing","nvt","Niet gestart","-","-"),""))</f>
        <v/>
      </c>
      <c r="T8" s="33" t="str">
        <f aca="false">IF($A8="","",IFERROR(_xlfn.SWITCH(INDEX(Voortgang!$G$5:$G$504,MATCH($A8&amp;"|"&amp;TEXT(18,"00"),Voortgang!$M$5:$M$504,0)),"Gereed","G","Loopt","L","Geblokkeerd","B","Niet van toepassing","nvt","Niet gestart","-","-"),""))</f>
        <v/>
      </c>
      <c r="U8" s="33" t="str">
        <f aca="false">IF($A8="","",IFERROR(_xlfn.SWITCH(INDEX(Voortgang!$G$5:$G$504,MATCH($A8&amp;"|"&amp;TEXT(19,"00"),Voortgang!$M$5:$M$504,0)),"Gereed","G","Loopt","L","Geblokkeerd","B","Niet van toepassing","nvt","Niet gestart","-","-"),""))</f>
        <v/>
      </c>
    </row>
    <row r="9" customFormat="false" ht="15" hidden="false" customHeight="false" outlineLevel="0" collapsed="false">
      <c r="A9" s="27" t="str">
        <f aca="false">IFERROR(IF(INDEX(Overzicht!$C$5:$C$44,5)="","",IF(INDEX(Overzicht!$C$5:$C$44,5)="Energiehub",INDEX(Overzicht!$A$5:$A$44,5),"")),"")</f>
        <v/>
      </c>
      <c r="B9" s="27" t="str">
        <f aca="false">IF($A9="","",INDEX(Overzicht!$B$5:$B$44,5))</f>
        <v/>
      </c>
      <c r="C9" s="33" t="str">
        <f aca="false">IF($A9="","",IFERROR(_xlfn.SWITCH(INDEX(Voortgang!$G$5:$G$504,MATCH($A9&amp;"|"&amp;TEXT(1,"00"),Voortgang!$M$5:$M$504,0)),"Gereed","G","Loopt","L","Geblokkeerd","B","Niet van toepassing","nvt","Niet gestart","-","-"),""))</f>
        <v/>
      </c>
      <c r="D9" s="33" t="str">
        <f aca="false">IF($A9="","",IFERROR(_xlfn.SWITCH(INDEX(Voortgang!$G$5:$G$504,MATCH($A9&amp;"|"&amp;TEXT(2,"00"),Voortgang!$M$5:$M$504,0)),"Gereed","G","Loopt","L","Geblokkeerd","B","Niet van toepassing","nvt","Niet gestart","-","-"),""))</f>
        <v/>
      </c>
      <c r="E9" s="33" t="str">
        <f aca="false">IF($A9="","",IFERROR(_xlfn.SWITCH(INDEX(Voortgang!$G$5:$G$504,MATCH($A9&amp;"|"&amp;TEXT(3,"00"),Voortgang!$M$5:$M$504,0)),"Gereed","G","Loopt","L","Geblokkeerd","B","Niet van toepassing","nvt","Niet gestart","-","-"),""))</f>
        <v/>
      </c>
      <c r="F9" s="33" t="str">
        <f aca="false">IF($A9="","",IFERROR(_xlfn.SWITCH(INDEX(Voortgang!$G$5:$G$504,MATCH($A9&amp;"|"&amp;TEXT(4,"00"),Voortgang!$M$5:$M$504,0)),"Gereed","G","Loopt","L","Geblokkeerd","B","Niet van toepassing","nvt","Niet gestart","-","-"),""))</f>
        <v/>
      </c>
      <c r="G9" s="33" t="str">
        <f aca="false">IF($A9="","",IFERROR(_xlfn.SWITCH(INDEX(Voortgang!$G$5:$G$504,MATCH($A9&amp;"|"&amp;TEXT(5,"00"),Voortgang!$M$5:$M$504,0)),"Gereed","G","Loopt","L","Geblokkeerd","B","Niet van toepassing","nvt","Niet gestart","-","-"),""))</f>
        <v/>
      </c>
      <c r="H9" s="33" t="str">
        <f aca="false">IF($A9="","",IFERROR(_xlfn.SWITCH(INDEX(Voortgang!$G$5:$G$504,MATCH($A9&amp;"|"&amp;TEXT(6,"00"),Voortgang!$M$5:$M$504,0)),"Gereed","G","Loopt","L","Geblokkeerd","B","Niet van toepassing","nvt","Niet gestart","-","-"),""))</f>
        <v/>
      </c>
      <c r="I9" s="33" t="str">
        <f aca="false">IF($A9="","",IFERROR(_xlfn.SWITCH(INDEX(Voortgang!$G$5:$G$504,MATCH($A9&amp;"|"&amp;TEXT(7,"00"),Voortgang!$M$5:$M$504,0)),"Gereed","G","Loopt","L","Geblokkeerd","B","Niet van toepassing","nvt","Niet gestart","-","-"),""))</f>
        <v/>
      </c>
      <c r="J9" s="33" t="str">
        <f aca="false">IF($A9="","",IFERROR(_xlfn.SWITCH(INDEX(Voortgang!$G$5:$G$504,MATCH($A9&amp;"|"&amp;TEXT(8,"00"),Voortgang!$M$5:$M$504,0)),"Gereed","G","Loopt","L","Geblokkeerd","B","Niet van toepassing","nvt","Niet gestart","-","-"),""))</f>
        <v/>
      </c>
      <c r="K9" s="33" t="str">
        <f aca="false">IF($A9="","",IFERROR(_xlfn.SWITCH(INDEX(Voortgang!$G$5:$G$504,MATCH($A9&amp;"|"&amp;TEXT(9,"00"),Voortgang!$M$5:$M$504,0)),"Gereed","G","Loopt","L","Geblokkeerd","B","Niet van toepassing","nvt","Niet gestart","-","-"),""))</f>
        <v/>
      </c>
      <c r="L9" s="33" t="str">
        <f aca="false">IF($A9="","",IFERROR(_xlfn.SWITCH(INDEX(Voortgang!$G$5:$G$504,MATCH($A9&amp;"|"&amp;TEXT(10,"00"),Voortgang!$M$5:$M$504,0)),"Gereed","G","Loopt","L","Geblokkeerd","B","Niet van toepassing","nvt","Niet gestart","-","-"),""))</f>
        <v/>
      </c>
      <c r="M9" s="33" t="str">
        <f aca="false">IF($A9="","",IFERROR(_xlfn.SWITCH(INDEX(Voortgang!$G$5:$G$504,MATCH($A9&amp;"|"&amp;TEXT(11,"00"),Voortgang!$M$5:$M$504,0)),"Gereed","G","Loopt","L","Geblokkeerd","B","Niet van toepassing","nvt","Niet gestart","-","-"),""))</f>
        <v/>
      </c>
      <c r="N9" s="33" t="str">
        <f aca="false">IF($A9="","",IFERROR(_xlfn.SWITCH(INDEX(Voortgang!$G$5:$G$504,MATCH($A9&amp;"|"&amp;TEXT(12,"00"),Voortgang!$M$5:$M$504,0)),"Gereed","G","Loopt","L","Geblokkeerd","B","Niet van toepassing","nvt","Niet gestart","-","-"),""))</f>
        <v/>
      </c>
      <c r="O9" s="33" t="str">
        <f aca="false">IF($A9="","",IFERROR(_xlfn.SWITCH(INDEX(Voortgang!$G$5:$G$504,MATCH($A9&amp;"|"&amp;TEXT(13,"00"),Voortgang!$M$5:$M$504,0)),"Gereed","G","Loopt","L","Geblokkeerd","B","Niet van toepassing","nvt","Niet gestart","-","-"),""))</f>
        <v/>
      </c>
      <c r="P9" s="33" t="str">
        <f aca="false">IF($A9="","",IFERROR(_xlfn.SWITCH(INDEX(Voortgang!$G$5:$G$504,MATCH($A9&amp;"|"&amp;TEXT(14,"00"),Voortgang!$M$5:$M$504,0)),"Gereed","G","Loopt","L","Geblokkeerd","B","Niet van toepassing","nvt","Niet gestart","-","-"),""))</f>
        <v/>
      </c>
      <c r="Q9" s="33" t="str">
        <f aca="false">IF($A9="","",IFERROR(_xlfn.SWITCH(INDEX(Voortgang!$G$5:$G$504,MATCH($A9&amp;"|"&amp;TEXT(15,"00"),Voortgang!$M$5:$M$504,0)),"Gereed","G","Loopt","L","Geblokkeerd","B","Niet van toepassing","nvt","Niet gestart","-","-"),""))</f>
        <v/>
      </c>
      <c r="R9" s="33" t="str">
        <f aca="false">IF($A9="","",IFERROR(_xlfn.SWITCH(INDEX(Voortgang!$G$5:$G$504,MATCH($A9&amp;"|"&amp;TEXT(16,"00"),Voortgang!$M$5:$M$504,0)),"Gereed","G","Loopt","L","Geblokkeerd","B","Niet van toepassing","nvt","Niet gestart","-","-"),""))</f>
        <v/>
      </c>
      <c r="S9" s="33" t="str">
        <f aca="false">IF($A9="","",IFERROR(_xlfn.SWITCH(INDEX(Voortgang!$G$5:$G$504,MATCH($A9&amp;"|"&amp;TEXT(17,"00"),Voortgang!$M$5:$M$504,0)),"Gereed","G","Loopt","L","Geblokkeerd","B","Niet van toepassing","nvt","Niet gestart","-","-"),""))</f>
        <v/>
      </c>
      <c r="T9" s="33" t="str">
        <f aca="false">IF($A9="","",IFERROR(_xlfn.SWITCH(INDEX(Voortgang!$G$5:$G$504,MATCH($A9&amp;"|"&amp;TEXT(18,"00"),Voortgang!$M$5:$M$504,0)),"Gereed","G","Loopt","L","Geblokkeerd","B","Niet van toepassing","nvt","Niet gestart","-","-"),""))</f>
        <v/>
      </c>
      <c r="U9" s="33" t="str">
        <f aca="false">IF($A9="","",IFERROR(_xlfn.SWITCH(INDEX(Voortgang!$G$5:$G$504,MATCH($A9&amp;"|"&amp;TEXT(19,"00"),Voortgang!$M$5:$M$504,0)),"Gereed","G","Loopt","L","Geblokkeerd","B","Niet van toepassing","nvt","Niet gestart","-","-"),""))</f>
        <v/>
      </c>
    </row>
    <row r="10" customFormat="false" ht="15" hidden="false" customHeight="false" outlineLevel="0" collapsed="false">
      <c r="A10" s="27" t="str">
        <f aca="false">IFERROR(IF(INDEX(Overzicht!$C$5:$C$44,6)="","",IF(INDEX(Overzicht!$C$5:$C$44,6)="Energiehub",INDEX(Overzicht!$A$5:$A$44,6),"")),"")</f>
        <v/>
      </c>
      <c r="B10" s="27" t="str">
        <f aca="false">IF($A10="","",INDEX(Overzicht!$B$5:$B$44,6))</f>
        <v/>
      </c>
      <c r="C10" s="33" t="str">
        <f aca="false">IF($A10="","",IFERROR(_xlfn.SWITCH(INDEX(Voortgang!$G$5:$G$504,MATCH($A10&amp;"|"&amp;TEXT(1,"00"),Voortgang!$M$5:$M$504,0)),"Gereed","G","Loopt","L","Geblokkeerd","B","Niet van toepassing","nvt","Niet gestart","-","-"),""))</f>
        <v/>
      </c>
      <c r="D10" s="33" t="str">
        <f aca="false">IF($A10="","",IFERROR(_xlfn.SWITCH(INDEX(Voortgang!$G$5:$G$504,MATCH($A10&amp;"|"&amp;TEXT(2,"00"),Voortgang!$M$5:$M$504,0)),"Gereed","G","Loopt","L","Geblokkeerd","B","Niet van toepassing","nvt","Niet gestart","-","-"),""))</f>
        <v/>
      </c>
      <c r="E10" s="33" t="str">
        <f aca="false">IF($A10="","",IFERROR(_xlfn.SWITCH(INDEX(Voortgang!$G$5:$G$504,MATCH($A10&amp;"|"&amp;TEXT(3,"00"),Voortgang!$M$5:$M$504,0)),"Gereed","G","Loopt","L","Geblokkeerd","B","Niet van toepassing","nvt","Niet gestart","-","-"),""))</f>
        <v/>
      </c>
      <c r="F10" s="33" t="str">
        <f aca="false">IF($A10="","",IFERROR(_xlfn.SWITCH(INDEX(Voortgang!$G$5:$G$504,MATCH($A10&amp;"|"&amp;TEXT(4,"00"),Voortgang!$M$5:$M$504,0)),"Gereed","G","Loopt","L","Geblokkeerd","B","Niet van toepassing","nvt","Niet gestart","-","-"),""))</f>
        <v/>
      </c>
      <c r="G10" s="33" t="str">
        <f aca="false">IF($A10="","",IFERROR(_xlfn.SWITCH(INDEX(Voortgang!$G$5:$G$504,MATCH($A10&amp;"|"&amp;TEXT(5,"00"),Voortgang!$M$5:$M$504,0)),"Gereed","G","Loopt","L","Geblokkeerd","B","Niet van toepassing","nvt","Niet gestart","-","-"),""))</f>
        <v/>
      </c>
      <c r="H10" s="33" t="str">
        <f aca="false">IF($A10="","",IFERROR(_xlfn.SWITCH(INDEX(Voortgang!$G$5:$G$504,MATCH($A10&amp;"|"&amp;TEXT(6,"00"),Voortgang!$M$5:$M$504,0)),"Gereed","G","Loopt","L","Geblokkeerd","B","Niet van toepassing","nvt","Niet gestart","-","-"),""))</f>
        <v/>
      </c>
      <c r="I10" s="33" t="str">
        <f aca="false">IF($A10="","",IFERROR(_xlfn.SWITCH(INDEX(Voortgang!$G$5:$G$504,MATCH($A10&amp;"|"&amp;TEXT(7,"00"),Voortgang!$M$5:$M$504,0)),"Gereed","G","Loopt","L","Geblokkeerd","B","Niet van toepassing","nvt","Niet gestart","-","-"),""))</f>
        <v/>
      </c>
      <c r="J10" s="33" t="str">
        <f aca="false">IF($A10="","",IFERROR(_xlfn.SWITCH(INDEX(Voortgang!$G$5:$G$504,MATCH($A10&amp;"|"&amp;TEXT(8,"00"),Voortgang!$M$5:$M$504,0)),"Gereed","G","Loopt","L","Geblokkeerd","B","Niet van toepassing","nvt","Niet gestart","-","-"),""))</f>
        <v/>
      </c>
      <c r="K10" s="33" t="str">
        <f aca="false">IF($A10="","",IFERROR(_xlfn.SWITCH(INDEX(Voortgang!$G$5:$G$504,MATCH($A10&amp;"|"&amp;TEXT(9,"00"),Voortgang!$M$5:$M$504,0)),"Gereed","G","Loopt","L","Geblokkeerd","B","Niet van toepassing","nvt","Niet gestart","-","-"),""))</f>
        <v/>
      </c>
      <c r="L10" s="33" t="str">
        <f aca="false">IF($A10="","",IFERROR(_xlfn.SWITCH(INDEX(Voortgang!$G$5:$G$504,MATCH($A10&amp;"|"&amp;TEXT(10,"00"),Voortgang!$M$5:$M$504,0)),"Gereed","G","Loopt","L","Geblokkeerd","B","Niet van toepassing","nvt","Niet gestart","-","-"),""))</f>
        <v/>
      </c>
      <c r="M10" s="33" t="str">
        <f aca="false">IF($A10="","",IFERROR(_xlfn.SWITCH(INDEX(Voortgang!$G$5:$G$504,MATCH($A10&amp;"|"&amp;TEXT(11,"00"),Voortgang!$M$5:$M$504,0)),"Gereed","G","Loopt","L","Geblokkeerd","B","Niet van toepassing","nvt","Niet gestart","-","-"),""))</f>
        <v/>
      </c>
      <c r="N10" s="33" t="str">
        <f aca="false">IF($A10="","",IFERROR(_xlfn.SWITCH(INDEX(Voortgang!$G$5:$G$504,MATCH($A10&amp;"|"&amp;TEXT(12,"00"),Voortgang!$M$5:$M$504,0)),"Gereed","G","Loopt","L","Geblokkeerd","B","Niet van toepassing","nvt","Niet gestart","-","-"),""))</f>
        <v/>
      </c>
      <c r="O10" s="33" t="str">
        <f aca="false">IF($A10="","",IFERROR(_xlfn.SWITCH(INDEX(Voortgang!$G$5:$G$504,MATCH($A10&amp;"|"&amp;TEXT(13,"00"),Voortgang!$M$5:$M$504,0)),"Gereed","G","Loopt","L","Geblokkeerd","B","Niet van toepassing","nvt","Niet gestart","-","-"),""))</f>
        <v/>
      </c>
      <c r="P10" s="33" t="str">
        <f aca="false">IF($A10="","",IFERROR(_xlfn.SWITCH(INDEX(Voortgang!$G$5:$G$504,MATCH($A10&amp;"|"&amp;TEXT(14,"00"),Voortgang!$M$5:$M$504,0)),"Gereed","G","Loopt","L","Geblokkeerd","B","Niet van toepassing","nvt","Niet gestart","-","-"),""))</f>
        <v/>
      </c>
      <c r="Q10" s="33" t="str">
        <f aca="false">IF($A10="","",IFERROR(_xlfn.SWITCH(INDEX(Voortgang!$G$5:$G$504,MATCH($A10&amp;"|"&amp;TEXT(15,"00"),Voortgang!$M$5:$M$504,0)),"Gereed","G","Loopt","L","Geblokkeerd","B","Niet van toepassing","nvt","Niet gestart","-","-"),""))</f>
        <v/>
      </c>
      <c r="R10" s="33" t="str">
        <f aca="false">IF($A10="","",IFERROR(_xlfn.SWITCH(INDEX(Voortgang!$G$5:$G$504,MATCH($A10&amp;"|"&amp;TEXT(16,"00"),Voortgang!$M$5:$M$504,0)),"Gereed","G","Loopt","L","Geblokkeerd","B","Niet van toepassing","nvt","Niet gestart","-","-"),""))</f>
        <v/>
      </c>
      <c r="S10" s="33" t="str">
        <f aca="false">IF($A10="","",IFERROR(_xlfn.SWITCH(INDEX(Voortgang!$G$5:$G$504,MATCH($A10&amp;"|"&amp;TEXT(17,"00"),Voortgang!$M$5:$M$504,0)),"Gereed","G","Loopt","L","Geblokkeerd","B","Niet van toepassing","nvt","Niet gestart","-","-"),""))</f>
        <v/>
      </c>
      <c r="T10" s="33" t="str">
        <f aca="false">IF($A10="","",IFERROR(_xlfn.SWITCH(INDEX(Voortgang!$G$5:$G$504,MATCH($A10&amp;"|"&amp;TEXT(18,"00"),Voortgang!$M$5:$M$504,0)),"Gereed","G","Loopt","L","Geblokkeerd","B","Niet van toepassing","nvt","Niet gestart","-","-"),""))</f>
        <v/>
      </c>
      <c r="U10" s="33" t="str">
        <f aca="false">IF($A10="","",IFERROR(_xlfn.SWITCH(INDEX(Voortgang!$G$5:$G$504,MATCH($A10&amp;"|"&amp;TEXT(19,"00"),Voortgang!$M$5:$M$504,0)),"Gereed","G","Loopt","L","Geblokkeerd","B","Niet van toepassing","nvt","Niet gestart","-","-"),""))</f>
        <v/>
      </c>
    </row>
    <row r="11" customFormat="false" ht="15" hidden="false" customHeight="false" outlineLevel="0" collapsed="false">
      <c r="A11" s="27" t="str">
        <f aca="false">IFERROR(IF(INDEX(Overzicht!$C$5:$C$44,7)="","",IF(INDEX(Overzicht!$C$5:$C$44,7)="Energiehub",INDEX(Overzicht!$A$5:$A$44,7),"")),"")</f>
        <v/>
      </c>
      <c r="B11" s="27" t="str">
        <f aca="false">IF($A11="","",INDEX(Overzicht!$B$5:$B$44,7))</f>
        <v/>
      </c>
      <c r="C11" s="33" t="str">
        <f aca="false">IF($A11="","",IFERROR(_xlfn.SWITCH(INDEX(Voortgang!$G$5:$G$504,MATCH($A11&amp;"|"&amp;TEXT(1,"00"),Voortgang!$M$5:$M$504,0)),"Gereed","G","Loopt","L","Geblokkeerd","B","Niet van toepassing","nvt","Niet gestart","-","-"),""))</f>
        <v/>
      </c>
      <c r="D11" s="33" t="str">
        <f aca="false">IF($A11="","",IFERROR(_xlfn.SWITCH(INDEX(Voortgang!$G$5:$G$504,MATCH($A11&amp;"|"&amp;TEXT(2,"00"),Voortgang!$M$5:$M$504,0)),"Gereed","G","Loopt","L","Geblokkeerd","B","Niet van toepassing","nvt","Niet gestart","-","-"),""))</f>
        <v/>
      </c>
      <c r="E11" s="33" t="str">
        <f aca="false">IF($A11="","",IFERROR(_xlfn.SWITCH(INDEX(Voortgang!$G$5:$G$504,MATCH($A11&amp;"|"&amp;TEXT(3,"00"),Voortgang!$M$5:$M$504,0)),"Gereed","G","Loopt","L","Geblokkeerd","B","Niet van toepassing","nvt","Niet gestart","-","-"),""))</f>
        <v/>
      </c>
      <c r="F11" s="33" t="str">
        <f aca="false">IF($A11="","",IFERROR(_xlfn.SWITCH(INDEX(Voortgang!$G$5:$G$504,MATCH($A11&amp;"|"&amp;TEXT(4,"00"),Voortgang!$M$5:$M$504,0)),"Gereed","G","Loopt","L","Geblokkeerd","B","Niet van toepassing","nvt","Niet gestart","-","-"),""))</f>
        <v/>
      </c>
      <c r="G11" s="33" t="str">
        <f aca="false">IF($A11="","",IFERROR(_xlfn.SWITCH(INDEX(Voortgang!$G$5:$G$504,MATCH($A11&amp;"|"&amp;TEXT(5,"00"),Voortgang!$M$5:$M$504,0)),"Gereed","G","Loopt","L","Geblokkeerd","B","Niet van toepassing","nvt","Niet gestart","-","-"),""))</f>
        <v/>
      </c>
      <c r="H11" s="33" t="str">
        <f aca="false">IF($A11="","",IFERROR(_xlfn.SWITCH(INDEX(Voortgang!$G$5:$G$504,MATCH($A11&amp;"|"&amp;TEXT(6,"00"),Voortgang!$M$5:$M$504,0)),"Gereed","G","Loopt","L","Geblokkeerd","B","Niet van toepassing","nvt","Niet gestart","-","-"),""))</f>
        <v/>
      </c>
      <c r="I11" s="33" t="str">
        <f aca="false">IF($A11="","",IFERROR(_xlfn.SWITCH(INDEX(Voortgang!$G$5:$G$504,MATCH($A11&amp;"|"&amp;TEXT(7,"00"),Voortgang!$M$5:$M$504,0)),"Gereed","G","Loopt","L","Geblokkeerd","B","Niet van toepassing","nvt","Niet gestart","-","-"),""))</f>
        <v/>
      </c>
      <c r="J11" s="33" t="str">
        <f aca="false">IF($A11="","",IFERROR(_xlfn.SWITCH(INDEX(Voortgang!$G$5:$G$504,MATCH($A11&amp;"|"&amp;TEXT(8,"00"),Voortgang!$M$5:$M$504,0)),"Gereed","G","Loopt","L","Geblokkeerd","B","Niet van toepassing","nvt","Niet gestart","-","-"),""))</f>
        <v/>
      </c>
      <c r="K11" s="33" t="str">
        <f aca="false">IF($A11="","",IFERROR(_xlfn.SWITCH(INDEX(Voortgang!$G$5:$G$504,MATCH($A11&amp;"|"&amp;TEXT(9,"00"),Voortgang!$M$5:$M$504,0)),"Gereed","G","Loopt","L","Geblokkeerd","B","Niet van toepassing","nvt","Niet gestart","-","-"),""))</f>
        <v/>
      </c>
      <c r="L11" s="33" t="str">
        <f aca="false">IF($A11="","",IFERROR(_xlfn.SWITCH(INDEX(Voortgang!$G$5:$G$504,MATCH($A11&amp;"|"&amp;TEXT(10,"00"),Voortgang!$M$5:$M$504,0)),"Gereed","G","Loopt","L","Geblokkeerd","B","Niet van toepassing","nvt","Niet gestart","-","-"),""))</f>
        <v/>
      </c>
      <c r="M11" s="33" t="str">
        <f aca="false">IF($A11="","",IFERROR(_xlfn.SWITCH(INDEX(Voortgang!$G$5:$G$504,MATCH($A11&amp;"|"&amp;TEXT(11,"00"),Voortgang!$M$5:$M$504,0)),"Gereed","G","Loopt","L","Geblokkeerd","B","Niet van toepassing","nvt","Niet gestart","-","-"),""))</f>
        <v/>
      </c>
      <c r="N11" s="33" t="str">
        <f aca="false">IF($A11="","",IFERROR(_xlfn.SWITCH(INDEX(Voortgang!$G$5:$G$504,MATCH($A11&amp;"|"&amp;TEXT(12,"00"),Voortgang!$M$5:$M$504,0)),"Gereed","G","Loopt","L","Geblokkeerd","B","Niet van toepassing","nvt","Niet gestart","-","-"),""))</f>
        <v/>
      </c>
      <c r="O11" s="33" t="str">
        <f aca="false">IF($A11="","",IFERROR(_xlfn.SWITCH(INDEX(Voortgang!$G$5:$G$504,MATCH($A11&amp;"|"&amp;TEXT(13,"00"),Voortgang!$M$5:$M$504,0)),"Gereed","G","Loopt","L","Geblokkeerd","B","Niet van toepassing","nvt","Niet gestart","-","-"),""))</f>
        <v/>
      </c>
      <c r="P11" s="33" t="str">
        <f aca="false">IF($A11="","",IFERROR(_xlfn.SWITCH(INDEX(Voortgang!$G$5:$G$504,MATCH($A11&amp;"|"&amp;TEXT(14,"00"),Voortgang!$M$5:$M$504,0)),"Gereed","G","Loopt","L","Geblokkeerd","B","Niet van toepassing","nvt","Niet gestart","-","-"),""))</f>
        <v/>
      </c>
      <c r="Q11" s="33" t="str">
        <f aca="false">IF($A11="","",IFERROR(_xlfn.SWITCH(INDEX(Voortgang!$G$5:$G$504,MATCH($A11&amp;"|"&amp;TEXT(15,"00"),Voortgang!$M$5:$M$504,0)),"Gereed","G","Loopt","L","Geblokkeerd","B","Niet van toepassing","nvt","Niet gestart","-","-"),""))</f>
        <v/>
      </c>
      <c r="R11" s="33" t="str">
        <f aca="false">IF($A11="","",IFERROR(_xlfn.SWITCH(INDEX(Voortgang!$G$5:$G$504,MATCH($A11&amp;"|"&amp;TEXT(16,"00"),Voortgang!$M$5:$M$504,0)),"Gereed","G","Loopt","L","Geblokkeerd","B","Niet van toepassing","nvt","Niet gestart","-","-"),""))</f>
        <v/>
      </c>
      <c r="S11" s="33" t="str">
        <f aca="false">IF($A11="","",IFERROR(_xlfn.SWITCH(INDEX(Voortgang!$G$5:$G$504,MATCH($A11&amp;"|"&amp;TEXT(17,"00"),Voortgang!$M$5:$M$504,0)),"Gereed","G","Loopt","L","Geblokkeerd","B","Niet van toepassing","nvt","Niet gestart","-","-"),""))</f>
        <v/>
      </c>
      <c r="T11" s="33" t="str">
        <f aca="false">IF($A11="","",IFERROR(_xlfn.SWITCH(INDEX(Voortgang!$G$5:$G$504,MATCH($A11&amp;"|"&amp;TEXT(18,"00"),Voortgang!$M$5:$M$504,0)),"Gereed","G","Loopt","L","Geblokkeerd","B","Niet van toepassing","nvt","Niet gestart","-","-"),""))</f>
        <v/>
      </c>
      <c r="U11" s="33" t="str">
        <f aca="false">IF($A11="","",IFERROR(_xlfn.SWITCH(INDEX(Voortgang!$G$5:$G$504,MATCH($A11&amp;"|"&amp;TEXT(19,"00"),Voortgang!$M$5:$M$504,0)),"Gereed","G","Loopt","L","Geblokkeerd","B","Niet van toepassing","nvt","Niet gestart","-","-"),""))</f>
        <v/>
      </c>
    </row>
    <row r="12" customFormat="false" ht="15" hidden="false" customHeight="false" outlineLevel="0" collapsed="false">
      <c r="A12" s="27" t="str">
        <f aca="false">IFERROR(IF(INDEX(Overzicht!$C$5:$C$44,8)="","",IF(INDEX(Overzicht!$C$5:$C$44,8)="Energiehub",INDEX(Overzicht!$A$5:$A$44,8),"")),"")</f>
        <v/>
      </c>
      <c r="B12" s="27" t="str">
        <f aca="false">IF($A12="","",INDEX(Overzicht!$B$5:$B$44,8))</f>
        <v/>
      </c>
      <c r="C12" s="33" t="str">
        <f aca="false">IF($A12="","",IFERROR(_xlfn.SWITCH(INDEX(Voortgang!$G$5:$G$504,MATCH($A12&amp;"|"&amp;TEXT(1,"00"),Voortgang!$M$5:$M$504,0)),"Gereed","G","Loopt","L","Geblokkeerd","B","Niet van toepassing","nvt","Niet gestart","-","-"),""))</f>
        <v/>
      </c>
      <c r="D12" s="33" t="str">
        <f aca="false">IF($A12="","",IFERROR(_xlfn.SWITCH(INDEX(Voortgang!$G$5:$G$504,MATCH($A12&amp;"|"&amp;TEXT(2,"00"),Voortgang!$M$5:$M$504,0)),"Gereed","G","Loopt","L","Geblokkeerd","B","Niet van toepassing","nvt","Niet gestart","-","-"),""))</f>
        <v/>
      </c>
      <c r="E12" s="33" t="str">
        <f aca="false">IF($A12="","",IFERROR(_xlfn.SWITCH(INDEX(Voortgang!$G$5:$G$504,MATCH($A12&amp;"|"&amp;TEXT(3,"00"),Voortgang!$M$5:$M$504,0)),"Gereed","G","Loopt","L","Geblokkeerd","B","Niet van toepassing","nvt","Niet gestart","-","-"),""))</f>
        <v/>
      </c>
      <c r="F12" s="33" t="str">
        <f aca="false">IF($A12="","",IFERROR(_xlfn.SWITCH(INDEX(Voortgang!$G$5:$G$504,MATCH($A12&amp;"|"&amp;TEXT(4,"00"),Voortgang!$M$5:$M$504,0)),"Gereed","G","Loopt","L","Geblokkeerd","B","Niet van toepassing","nvt","Niet gestart","-","-"),""))</f>
        <v/>
      </c>
      <c r="G12" s="33" t="str">
        <f aca="false">IF($A12="","",IFERROR(_xlfn.SWITCH(INDEX(Voortgang!$G$5:$G$504,MATCH($A12&amp;"|"&amp;TEXT(5,"00"),Voortgang!$M$5:$M$504,0)),"Gereed","G","Loopt","L","Geblokkeerd","B","Niet van toepassing","nvt","Niet gestart","-","-"),""))</f>
        <v/>
      </c>
      <c r="H12" s="33" t="str">
        <f aca="false">IF($A12="","",IFERROR(_xlfn.SWITCH(INDEX(Voortgang!$G$5:$G$504,MATCH($A12&amp;"|"&amp;TEXT(6,"00"),Voortgang!$M$5:$M$504,0)),"Gereed","G","Loopt","L","Geblokkeerd","B","Niet van toepassing","nvt","Niet gestart","-","-"),""))</f>
        <v/>
      </c>
      <c r="I12" s="33" t="str">
        <f aca="false">IF($A12="","",IFERROR(_xlfn.SWITCH(INDEX(Voortgang!$G$5:$G$504,MATCH($A12&amp;"|"&amp;TEXT(7,"00"),Voortgang!$M$5:$M$504,0)),"Gereed","G","Loopt","L","Geblokkeerd","B","Niet van toepassing","nvt","Niet gestart","-","-"),""))</f>
        <v/>
      </c>
      <c r="J12" s="33" t="str">
        <f aca="false">IF($A12="","",IFERROR(_xlfn.SWITCH(INDEX(Voortgang!$G$5:$G$504,MATCH($A12&amp;"|"&amp;TEXT(8,"00"),Voortgang!$M$5:$M$504,0)),"Gereed","G","Loopt","L","Geblokkeerd","B","Niet van toepassing","nvt","Niet gestart","-","-"),""))</f>
        <v/>
      </c>
      <c r="K12" s="33" t="str">
        <f aca="false">IF($A12="","",IFERROR(_xlfn.SWITCH(INDEX(Voortgang!$G$5:$G$504,MATCH($A12&amp;"|"&amp;TEXT(9,"00"),Voortgang!$M$5:$M$504,0)),"Gereed","G","Loopt","L","Geblokkeerd","B","Niet van toepassing","nvt","Niet gestart","-","-"),""))</f>
        <v/>
      </c>
      <c r="L12" s="33" t="str">
        <f aca="false">IF($A12="","",IFERROR(_xlfn.SWITCH(INDEX(Voortgang!$G$5:$G$504,MATCH($A12&amp;"|"&amp;TEXT(10,"00"),Voortgang!$M$5:$M$504,0)),"Gereed","G","Loopt","L","Geblokkeerd","B","Niet van toepassing","nvt","Niet gestart","-","-"),""))</f>
        <v/>
      </c>
      <c r="M12" s="33" t="str">
        <f aca="false">IF($A12="","",IFERROR(_xlfn.SWITCH(INDEX(Voortgang!$G$5:$G$504,MATCH($A12&amp;"|"&amp;TEXT(11,"00"),Voortgang!$M$5:$M$504,0)),"Gereed","G","Loopt","L","Geblokkeerd","B","Niet van toepassing","nvt","Niet gestart","-","-"),""))</f>
        <v/>
      </c>
      <c r="N12" s="33" t="str">
        <f aca="false">IF($A12="","",IFERROR(_xlfn.SWITCH(INDEX(Voortgang!$G$5:$G$504,MATCH($A12&amp;"|"&amp;TEXT(12,"00"),Voortgang!$M$5:$M$504,0)),"Gereed","G","Loopt","L","Geblokkeerd","B","Niet van toepassing","nvt","Niet gestart","-","-"),""))</f>
        <v/>
      </c>
      <c r="O12" s="33" t="str">
        <f aca="false">IF($A12="","",IFERROR(_xlfn.SWITCH(INDEX(Voortgang!$G$5:$G$504,MATCH($A12&amp;"|"&amp;TEXT(13,"00"),Voortgang!$M$5:$M$504,0)),"Gereed","G","Loopt","L","Geblokkeerd","B","Niet van toepassing","nvt","Niet gestart","-","-"),""))</f>
        <v/>
      </c>
      <c r="P12" s="33" t="str">
        <f aca="false">IF($A12="","",IFERROR(_xlfn.SWITCH(INDEX(Voortgang!$G$5:$G$504,MATCH($A12&amp;"|"&amp;TEXT(14,"00"),Voortgang!$M$5:$M$504,0)),"Gereed","G","Loopt","L","Geblokkeerd","B","Niet van toepassing","nvt","Niet gestart","-","-"),""))</f>
        <v/>
      </c>
      <c r="Q12" s="33" t="str">
        <f aca="false">IF($A12="","",IFERROR(_xlfn.SWITCH(INDEX(Voortgang!$G$5:$G$504,MATCH($A12&amp;"|"&amp;TEXT(15,"00"),Voortgang!$M$5:$M$504,0)),"Gereed","G","Loopt","L","Geblokkeerd","B","Niet van toepassing","nvt","Niet gestart","-","-"),""))</f>
        <v/>
      </c>
      <c r="R12" s="33" t="str">
        <f aca="false">IF($A12="","",IFERROR(_xlfn.SWITCH(INDEX(Voortgang!$G$5:$G$504,MATCH($A12&amp;"|"&amp;TEXT(16,"00"),Voortgang!$M$5:$M$504,0)),"Gereed","G","Loopt","L","Geblokkeerd","B","Niet van toepassing","nvt","Niet gestart","-","-"),""))</f>
        <v/>
      </c>
      <c r="S12" s="33" t="str">
        <f aca="false">IF($A12="","",IFERROR(_xlfn.SWITCH(INDEX(Voortgang!$G$5:$G$504,MATCH($A12&amp;"|"&amp;TEXT(17,"00"),Voortgang!$M$5:$M$504,0)),"Gereed","G","Loopt","L","Geblokkeerd","B","Niet van toepassing","nvt","Niet gestart","-","-"),""))</f>
        <v/>
      </c>
      <c r="T12" s="33" t="str">
        <f aca="false">IF($A12="","",IFERROR(_xlfn.SWITCH(INDEX(Voortgang!$G$5:$G$504,MATCH($A12&amp;"|"&amp;TEXT(18,"00"),Voortgang!$M$5:$M$504,0)),"Gereed","G","Loopt","L","Geblokkeerd","B","Niet van toepassing","nvt","Niet gestart","-","-"),""))</f>
        <v/>
      </c>
      <c r="U12" s="33" t="str">
        <f aca="false">IF($A12="","",IFERROR(_xlfn.SWITCH(INDEX(Voortgang!$G$5:$G$504,MATCH($A12&amp;"|"&amp;TEXT(19,"00"),Voortgang!$M$5:$M$504,0)),"Gereed","G","Loopt","L","Geblokkeerd","B","Niet van toepassing","nvt","Niet gestart","-","-"),""))</f>
        <v/>
      </c>
    </row>
    <row r="13" customFormat="false" ht="15" hidden="false" customHeight="false" outlineLevel="0" collapsed="false">
      <c r="A13" s="27" t="str">
        <f aca="false">IFERROR(IF(INDEX(Overzicht!$C$5:$C$44,9)="","",IF(INDEX(Overzicht!$C$5:$C$44,9)="Energiehub",INDEX(Overzicht!$A$5:$A$44,9),"")),"")</f>
        <v/>
      </c>
      <c r="B13" s="27" t="str">
        <f aca="false">IF($A13="","",INDEX(Overzicht!$B$5:$B$44,9))</f>
        <v/>
      </c>
      <c r="C13" s="33" t="str">
        <f aca="false">IF($A13="","",IFERROR(_xlfn.SWITCH(INDEX(Voortgang!$G$5:$G$504,MATCH($A13&amp;"|"&amp;TEXT(1,"00"),Voortgang!$M$5:$M$504,0)),"Gereed","G","Loopt","L","Geblokkeerd","B","Niet van toepassing","nvt","Niet gestart","-","-"),""))</f>
        <v/>
      </c>
      <c r="D13" s="33" t="str">
        <f aca="false">IF($A13="","",IFERROR(_xlfn.SWITCH(INDEX(Voortgang!$G$5:$G$504,MATCH($A13&amp;"|"&amp;TEXT(2,"00"),Voortgang!$M$5:$M$504,0)),"Gereed","G","Loopt","L","Geblokkeerd","B","Niet van toepassing","nvt","Niet gestart","-","-"),""))</f>
        <v/>
      </c>
      <c r="E13" s="33" t="str">
        <f aca="false">IF($A13="","",IFERROR(_xlfn.SWITCH(INDEX(Voortgang!$G$5:$G$504,MATCH($A13&amp;"|"&amp;TEXT(3,"00"),Voortgang!$M$5:$M$504,0)),"Gereed","G","Loopt","L","Geblokkeerd","B","Niet van toepassing","nvt","Niet gestart","-","-"),""))</f>
        <v/>
      </c>
      <c r="F13" s="33" t="str">
        <f aca="false">IF($A13="","",IFERROR(_xlfn.SWITCH(INDEX(Voortgang!$G$5:$G$504,MATCH($A13&amp;"|"&amp;TEXT(4,"00"),Voortgang!$M$5:$M$504,0)),"Gereed","G","Loopt","L","Geblokkeerd","B","Niet van toepassing","nvt","Niet gestart","-","-"),""))</f>
        <v/>
      </c>
      <c r="G13" s="33" t="str">
        <f aca="false">IF($A13="","",IFERROR(_xlfn.SWITCH(INDEX(Voortgang!$G$5:$G$504,MATCH($A13&amp;"|"&amp;TEXT(5,"00"),Voortgang!$M$5:$M$504,0)),"Gereed","G","Loopt","L","Geblokkeerd","B","Niet van toepassing","nvt","Niet gestart","-","-"),""))</f>
        <v/>
      </c>
      <c r="H13" s="33" t="str">
        <f aca="false">IF($A13="","",IFERROR(_xlfn.SWITCH(INDEX(Voortgang!$G$5:$G$504,MATCH($A13&amp;"|"&amp;TEXT(6,"00"),Voortgang!$M$5:$M$504,0)),"Gereed","G","Loopt","L","Geblokkeerd","B","Niet van toepassing","nvt","Niet gestart","-","-"),""))</f>
        <v/>
      </c>
      <c r="I13" s="33" t="str">
        <f aca="false">IF($A13="","",IFERROR(_xlfn.SWITCH(INDEX(Voortgang!$G$5:$G$504,MATCH($A13&amp;"|"&amp;TEXT(7,"00"),Voortgang!$M$5:$M$504,0)),"Gereed","G","Loopt","L","Geblokkeerd","B","Niet van toepassing","nvt","Niet gestart","-","-"),""))</f>
        <v/>
      </c>
      <c r="J13" s="33" t="str">
        <f aca="false">IF($A13="","",IFERROR(_xlfn.SWITCH(INDEX(Voortgang!$G$5:$G$504,MATCH($A13&amp;"|"&amp;TEXT(8,"00"),Voortgang!$M$5:$M$504,0)),"Gereed","G","Loopt","L","Geblokkeerd","B","Niet van toepassing","nvt","Niet gestart","-","-"),""))</f>
        <v/>
      </c>
      <c r="K13" s="33" t="str">
        <f aca="false">IF($A13="","",IFERROR(_xlfn.SWITCH(INDEX(Voortgang!$G$5:$G$504,MATCH($A13&amp;"|"&amp;TEXT(9,"00"),Voortgang!$M$5:$M$504,0)),"Gereed","G","Loopt","L","Geblokkeerd","B","Niet van toepassing","nvt","Niet gestart","-","-"),""))</f>
        <v/>
      </c>
      <c r="L13" s="33" t="str">
        <f aca="false">IF($A13="","",IFERROR(_xlfn.SWITCH(INDEX(Voortgang!$G$5:$G$504,MATCH($A13&amp;"|"&amp;TEXT(10,"00"),Voortgang!$M$5:$M$504,0)),"Gereed","G","Loopt","L","Geblokkeerd","B","Niet van toepassing","nvt","Niet gestart","-","-"),""))</f>
        <v/>
      </c>
      <c r="M13" s="33" t="str">
        <f aca="false">IF($A13="","",IFERROR(_xlfn.SWITCH(INDEX(Voortgang!$G$5:$G$504,MATCH($A13&amp;"|"&amp;TEXT(11,"00"),Voortgang!$M$5:$M$504,0)),"Gereed","G","Loopt","L","Geblokkeerd","B","Niet van toepassing","nvt","Niet gestart","-","-"),""))</f>
        <v/>
      </c>
      <c r="N13" s="33" t="str">
        <f aca="false">IF($A13="","",IFERROR(_xlfn.SWITCH(INDEX(Voortgang!$G$5:$G$504,MATCH($A13&amp;"|"&amp;TEXT(12,"00"),Voortgang!$M$5:$M$504,0)),"Gereed","G","Loopt","L","Geblokkeerd","B","Niet van toepassing","nvt","Niet gestart","-","-"),""))</f>
        <v/>
      </c>
      <c r="O13" s="33" t="str">
        <f aca="false">IF($A13="","",IFERROR(_xlfn.SWITCH(INDEX(Voortgang!$G$5:$G$504,MATCH($A13&amp;"|"&amp;TEXT(13,"00"),Voortgang!$M$5:$M$504,0)),"Gereed","G","Loopt","L","Geblokkeerd","B","Niet van toepassing","nvt","Niet gestart","-","-"),""))</f>
        <v/>
      </c>
      <c r="P13" s="33" t="str">
        <f aca="false">IF($A13="","",IFERROR(_xlfn.SWITCH(INDEX(Voortgang!$G$5:$G$504,MATCH($A13&amp;"|"&amp;TEXT(14,"00"),Voortgang!$M$5:$M$504,0)),"Gereed","G","Loopt","L","Geblokkeerd","B","Niet van toepassing","nvt","Niet gestart","-","-"),""))</f>
        <v/>
      </c>
      <c r="Q13" s="33" t="str">
        <f aca="false">IF($A13="","",IFERROR(_xlfn.SWITCH(INDEX(Voortgang!$G$5:$G$504,MATCH($A13&amp;"|"&amp;TEXT(15,"00"),Voortgang!$M$5:$M$504,0)),"Gereed","G","Loopt","L","Geblokkeerd","B","Niet van toepassing","nvt","Niet gestart","-","-"),""))</f>
        <v/>
      </c>
      <c r="R13" s="33" t="str">
        <f aca="false">IF($A13="","",IFERROR(_xlfn.SWITCH(INDEX(Voortgang!$G$5:$G$504,MATCH($A13&amp;"|"&amp;TEXT(16,"00"),Voortgang!$M$5:$M$504,0)),"Gereed","G","Loopt","L","Geblokkeerd","B","Niet van toepassing","nvt","Niet gestart","-","-"),""))</f>
        <v/>
      </c>
      <c r="S13" s="33" t="str">
        <f aca="false">IF($A13="","",IFERROR(_xlfn.SWITCH(INDEX(Voortgang!$G$5:$G$504,MATCH($A13&amp;"|"&amp;TEXT(17,"00"),Voortgang!$M$5:$M$504,0)),"Gereed","G","Loopt","L","Geblokkeerd","B","Niet van toepassing","nvt","Niet gestart","-","-"),""))</f>
        <v/>
      </c>
      <c r="T13" s="33" t="str">
        <f aca="false">IF($A13="","",IFERROR(_xlfn.SWITCH(INDEX(Voortgang!$G$5:$G$504,MATCH($A13&amp;"|"&amp;TEXT(18,"00"),Voortgang!$M$5:$M$504,0)),"Gereed","G","Loopt","L","Geblokkeerd","B","Niet van toepassing","nvt","Niet gestart","-","-"),""))</f>
        <v/>
      </c>
      <c r="U13" s="33" t="str">
        <f aca="false">IF($A13="","",IFERROR(_xlfn.SWITCH(INDEX(Voortgang!$G$5:$G$504,MATCH($A13&amp;"|"&amp;TEXT(19,"00"),Voortgang!$M$5:$M$504,0)),"Gereed","G","Loopt","L","Geblokkeerd","B","Niet van toepassing","nvt","Niet gestart","-","-"),""))</f>
        <v/>
      </c>
    </row>
    <row r="14" customFormat="false" ht="15" hidden="false" customHeight="false" outlineLevel="0" collapsed="false">
      <c r="A14" s="27" t="str">
        <f aca="false">IFERROR(IF(INDEX(Overzicht!$C$5:$C$44,10)="","",IF(INDEX(Overzicht!$C$5:$C$44,10)="Energiehub",INDEX(Overzicht!$A$5:$A$44,10),"")),"")</f>
        <v/>
      </c>
      <c r="B14" s="27" t="str">
        <f aca="false">IF($A14="","",INDEX(Overzicht!$B$5:$B$44,10))</f>
        <v/>
      </c>
      <c r="C14" s="33" t="str">
        <f aca="false">IF($A14="","",IFERROR(_xlfn.SWITCH(INDEX(Voortgang!$G$5:$G$504,MATCH($A14&amp;"|"&amp;TEXT(1,"00"),Voortgang!$M$5:$M$504,0)),"Gereed","G","Loopt","L","Geblokkeerd","B","Niet van toepassing","nvt","Niet gestart","-","-"),""))</f>
        <v/>
      </c>
      <c r="D14" s="33" t="str">
        <f aca="false">IF($A14="","",IFERROR(_xlfn.SWITCH(INDEX(Voortgang!$G$5:$G$504,MATCH($A14&amp;"|"&amp;TEXT(2,"00"),Voortgang!$M$5:$M$504,0)),"Gereed","G","Loopt","L","Geblokkeerd","B","Niet van toepassing","nvt","Niet gestart","-","-"),""))</f>
        <v/>
      </c>
      <c r="E14" s="33" t="str">
        <f aca="false">IF($A14="","",IFERROR(_xlfn.SWITCH(INDEX(Voortgang!$G$5:$G$504,MATCH($A14&amp;"|"&amp;TEXT(3,"00"),Voortgang!$M$5:$M$504,0)),"Gereed","G","Loopt","L","Geblokkeerd","B","Niet van toepassing","nvt","Niet gestart","-","-"),""))</f>
        <v/>
      </c>
      <c r="F14" s="33" t="str">
        <f aca="false">IF($A14="","",IFERROR(_xlfn.SWITCH(INDEX(Voortgang!$G$5:$G$504,MATCH($A14&amp;"|"&amp;TEXT(4,"00"),Voortgang!$M$5:$M$504,0)),"Gereed","G","Loopt","L","Geblokkeerd","B","Niet van toepassing","nvt","Niet gestart","-","-"),""))</f>
        <v/>
      </c>
      <c r="G14" s="33" t="str">
        <f aca="false">IF($A14="","",IFERROR(_xlfn.SWITCH(INDEX(Voortgang!$G$5:$G$504,MATCH($A14&amp;"|"&amp;TEXT(5,"00"),Voortgang!$M$5:$M$504,0)),"Gereed","G","Loopt","L","Geblokkeerd","B","Niet van toepassing","nvt","Niet gestart","-","-"),""))</f>
        <v/>
      </c>
      <c r="H14" s="33" t="str">
        <f aca="false">IF($A14="","",IFERROR(_xlfn.SWITCH(INDEX(Voortgang!$G$5:$G$504,MATCH($A14&amp;"|"&amp;TEXT(6,"00"),Voortgang!$M$5:$M$504,0)),"Gereed","G","Loopt","L","Geblokkeerd","B","Niet van toepassing","nvt","Niet gestart","-","-"),""))</f>
        <v/>
      </c>
      <c r="I14" s="33" t="str">
        <f aca="false">IF($A14="","",IFERROR(_xlfn.SWITCH(INDEX(Voortgang!$G$5:$G$504,MATCH($A14&amp;"|"&amp;TEXT(7,"00"),Voortgang!$M$5:$M$504,0)),"Gereed","G","Loopt","L","Geblokkeerd","B","Niet van toepassing","nvt","Niet gestart","-","-"),""))</f>
        <v/>
      </c>
      <c r="J14" s="33" t="str">
        <f aca="false">IF($A14="","",IFERROR(_xlfn.SWITCH(INDEX(Voortgang!$G$5:$G$504,MATCH($A14&amp;"|"&amp;TEXT(8,"00"),Voortgang!$M$5:$M$504,0)),"Gereed","G","Loopt","L","Geblokkeerd","B","Niet van toepassing","nvt","Niet gestart","-","-"),""))</f>
        <v/>
      </c>
      <c r="K14" s="33" t="str">
        <f aca="false">IF($A14="","",IFERROR(_xlfn.SWITCH(INDEX(Voortgang!$G$5:$G$504,MATCH($A14&amp;"|"&amp;TEXT(9,"00"),Voortgang!$M$5:$M$504,0)),"Gereed","G","Loopt","L","Geblokkeerd","B","Niet van toepassing","nvt","Niet gestart","-","-"),""))</f>
        <v/>
      </c>
      <c r="L14" s="33" t="str">
        <f aca="false">IF($A14="","",IFERROR(_xlfn.SWITCH(INDEX(Voortgang!$G$5:$G$504,MATCH($A14&amp;"|"&amp;TEXT(10,"00"),Voortgang!$M$5:$M$504,0)),"Gereed","G","Loopt","L","Geblokkeerd","B","Niet van toepassing","nvt","Niet gestart","-","-"),""))</f>
        <v/>
      </c>
      <c r="M14" s="33" t="str">
        <f aca="false">IF($A14="","",IFERROR(_xlfn.SWITCH(INDEX(Voortgang!$G$5:$G$504,MATCH($A14&amp;"|"&amp;TEXT(11,"00"),Voortgang!$M$5:$M$504,0)),"Gereed","G","Loopt","L","Geblokkeerd","B","Niet van toepassing","nvt","Niet gestart","-","-"),""))</f>
        <v/>
      </c>
      <c r="N14" s="33" t="str">
        <f aca="false">IF($A14="","",IFERROR(_xlfn.SWITCH(INDEX(Voortgang!$G$5:$G$504,MATCH($A14&amp;"|"&amp;TEXT(12,"00"),Voortgang!$M$5:$M$504,0)),"Gereed","G","Loopt","L","Geblokkeerd","B","Niet van toepassing","nvt","Niet gestart","-","-"),""))</f>
        <v/>
      </c>
      <c r="O14" s="33" t="str">
        <f aca="false">IF($A14="","",IFERROR(_xlfn.SWITCH(INDEX(Voortgang!$G$5:$G$504,MATCH($A14&amp;"|"&amp;TEXT(13,"00"),Voortgang!$M$5:$M$504,0)),"Gereed","G","Loopt","L","Geblokkeerd","B","Niet van toepassing","nvt","Niet gestart","-","-"),""))</f>
        <v/>
      </c>
      <c r="P14" s="33" t="str">
        <f aca="false">IF($A14="","",IFERROR(_xlfn.SWITCH(INDEX(Voortgang!$G$5:$G$504,MATCH($A14&amp;"|"&amp;TEXT(14,"00"),Voortgang!$M$5:$M$504,0)),"Gereed","G","Loopt","L","Geblokkeerd","B","Niet van toepassing","nvt","Niet gestart","-","-"),""))</f>
        <v/>
      </c>
      <c r="Q14" s="33" t="str">
        <f aca="false">IF($A14="","",IFERROR(_xlfn.SWITCH(INDEX(Voortgang!$G$5:$G$504,MATCH($A14&amp;"|"&amp;TEXT(15,"00"),Voortgang!$M$5:$M$504,0)),"Gereed","G","Loopt","L","Geblokkeerd","B","Niet van toepassing","nvt","Niet gestart","-","-"),""))</f>
        <v/>
      </c>
      <c r="R14" s="33" t="str">
        <f aca="false">IF($A14="","",IFERROR(_xlfn.SWITCH(INDEX(Voortgang!$G$5:$G$504,MATCH($A14&amp;"|"&amp;TEXT(16,"00"),Voortgang!$M$5:$M$504,0)),"Gereed","G","Loopt","L","Geblokkeerd","B","Niet van toepassing","nvt","Niet gestart","-","-"),""))</f>
        <v/>
      </c>
      <c r="S14" s="33" t="str">
        <f aca="false">IF($A14="","",IFERROR(_xlfn.SWITCH(INDEX(Voortgang!$G$5:$G$504,MATCH($A14&amp;"|"&amp;TEXT(17,"00"),Voortgang!$M$5:$M$504,0)),"Gereed","G","Loopt","L","Geblokkeerd","B","Niet van toepassing","nvt","Niet gestart","-","-"),""))</f>
        <v/>
      </c>
      <c r="T14" s="33" t="str">
        <f aca="false">IF($A14="","",IFERROR(_xlfn.SWITCH(INDEX(Voortgang!$G$5:$G$504,MATCH($A14&amp;"|"&amp;TEXT(18,"00"),Voortgang!$M$5:$M$504,0)),"Gereed","G","Loopt","L","Geblokkeerd","B","Niet van toepassing","nvt","Niet gestart","-","-"),""))</f>
        <v/>
      </c>
      <c r="U14" s="33" t="str">
        <f aca="false">IF($A14="","",IFERROR(_xlfn.SWITCH(INDEX(Voortgang!$G$5:$G$504,MATCH($A14&amp;"|"&amp;TEXT(19,"00"),Voortgang!$M$5:$M$504,0)),"Gereed","G","Loopt","L","Geblokkeerd","B","Niet van toepassing","nvt","Niet gestart","-","-"),""))</f>
        <v/>
      </c>
    </row>
    <row r="15" customFormat="false" ht="15" hidden="false" customHeight="false" outlineLevel="0" collapsed="false">
      <c r="A15" s="27" t="str">
        <f aca="false">IFERROR(IF(INDEX(Overzicht!$C$5:$C$44,11)="","",IF(INDEX(Overzicht!$C$5:$C$44,11)="Energiehub",INDEX(Overzicht!$A$5:$A$44,11),"")),"")</f>
        <v/>
      </c>
      <c r="B15" s="27" t="str">
        <f aca="false">IF($A15="","",INDEX(Overzicht!$B$5:$B$44,11))</f>
        <v/>
      </c>
      <c r="C15" s="33" t="str">
        <f aca="false">IF($A15="","",IFERROR(_xlfn.SWITCH(INDEX(Voortgang!$G$5:$G$504,MATCH($A15&amp;"|"&amp;TEXT(1,"00"),Voortgang!$M$5:$M$504,0)),"Gereed","G","Loopt","L","Geblokkeerd","B","Niet van toepassing","nvt","Niet gestart","-","-"),""))</f>
        <v/>
      </c>
      <c r="D15" s="33" t="str">
        <f aca="false">IF($A15="","",IFERROR(_xlfn.SWITCH(INDEX(Voortgang!$G$5:$G$504,MATCH($A15&amp;"|"&amp;TEXT(2,"00"),Voortgang!$M$5:$M$504,0)),"Gereed","G","Loopt","L","Geblokkeerd","B","Niet van toepassing","nvt","Niet gestart","-","-"),""))</f>
        <v/>
      </c>
      <c r="E15" s="33" t="str">
        <f aca="false">IF($A15="","",IFERROR(_xlfn.SWITCH(INDEX(Voortgang!$G$5:$G$504,MATCH($A15&amp;"|"&amp;TEXT(3,"00"),Voortgang!$M$5:$M$504,0)),"Gereed","G","Loopt","L","Geblokkeerd","B","Niet van toepassing","nvt","Niet gestart","-","-"),""))</f>
        <v/>
      </c>
      <c r="F15" s="33" t="str">
        <f aca="false">IF($A15="","",IFERROR(_xlfn.SWITCH(INDEX(Voortgang!$G$5:$G$504,MATCH($A15&amp;"|"&amp;TEXT(4,"00"),Voortgang!$M$5:$M$504,0)),"Gereed","G","Loopt","L","Geblokkeerd","B","Niet van toepassing","nvt","Niet gestart","-","-"),""))</f>
        <v/>
      </c>
      <c r="G15" s="33" t="str">
        <f aca="false">IF($A15="","",IFERROR(_xlfn.SWITCH(INDEX(Voortgang!$G$5:$G$504,MATCH($A15&amp;"|"&amp;TEXT(5,"00"),Voortgang!$M$5:$M$504,0)),"Gereed","G","Loopt","L","Geblokkeerd","B","Niet van toepassing","nvt","Niet gestart","-","-"),""))</f>
        <v/>
      </c>
      <c r="H15" s="33" t="str">
        <f aca="false">IF($A15="","",IFERROR(_xlfn.SWITCH(INDEX(Voortgang!$G$5:$G$504,MATCH($A15&amp;"|"&amp;TEXT(6,"00"),Voortgang!$M$5:$M$504,0)),"Gereed","G","Loopt","L","Geblokkeerd","B","Niet van toepassing","nvt","Niet gestart","-","-"),""))</f>
        <v/>
      </c>
      <c r="I15" s="33" t="str">
        <f aca="false">IF($A15="","",IFERROR(_xlfn.SWITCH(INDEX(Voortgang!$G$5:$G$504,MATCH($A15&amp;"|"&amp;TEXT(7,"00"),Voortgang!$M$5:$M$504,0)),"Gereed","G","Loopt","L","Geblokkeerd","B","Niet van toepassing","nvt","Niet gestart","-","-"),""))</f>
        <v/>
      </c>
      <c r="J15" s="33" t="str">
        <f aca="false">IF($A15="","",IFERROR(_xlfn.SWITCH(INDEX(Voortgang!$G$5:$G$504,MATCH($A15&amp;"|"&amp;TEXT(8,"00"),Voortgang!$M$5:$M$504,0)),"Gereed","G","Loopt","L","Geblokkeerd","B","Niet van toepassing","nvt","Niet gestart","-","-"),""))</f>
        <v/>
      </c>
      <c r="K15" s="33" t="str">
        <f aca="false">IF($A15="","",IFERROR(_xlfn.SWITCH(INDEX(Voortgang!$G$5:$G$504,MATCH($A15&amp;"|"&amp;TEXT(9,"00"),Voortgang!$M$5:$M$504,0)),"Gereed","G","Loopt","L","Geblokkeerd","B","Niet van toepassing","nvt","Niet gestart","-","-"),""))</f>
        <v/>
      </c>
      <c r="L15" s="33" t="str">
        <f aca="false">IF($A15="","",IFERROR(_xlfn.SWITCH(INDEX(Voortgang!$G$5:$G$504,MATCH($A15&amp;"|"&amp;TEXT(10,"00"),Voortgang!$M$5:$M$504,0)),"Gereed","G","Loopt","L","Geblokkeerd","B","Niet van toepassing","nvt","Niet gestart","-","-"),""))</f>
        <v/>
      </c>
      <c r="M15" s="33" t="str">
        <f aca="false">IF($A15="","",IFERROR(_xlfn.SWITCH(INDEX(Voortgang!$G$5:$G$504,MATCH($A15&amp;"|"&amp;TEXT(11,"00"),Voortgang!$M$5:$M$504,0)),"Gereed","G","Loopt","L","Geblokkeerd","B","Niet van toepassing","nvt","Niet gestart","-","-"),""))</f>
        <v/>
      </c>
      <c r="N15" s="33" t="str">
        <f aca="false">IF($A15="","",IFERROR(_xlfn.SWITCH(INDEX(Voortgang!$G$5:$G$504,MATCH($A15&amp;"|"&amp;TEXT(12,"00"),Voortgang!$M$5:$M$504,0)),"Gereed","G","Loopt","L","Geblokkeerd","B","Niet van toepassing","nvt","Niet gestart","-","-"),""))</f>
        <v/>
      </c>
      <c r="O15" s="33" t="str">
        <f aca="false">IF($A15="","",IFERROR(_xlfn.SWITCH(INDEX(Voortgang!$G$5:$G$504,MATCH($A15&amp;"|"&amp;TEXT(13,"00"),Voortgang!$M$5:$M$504,0)),"Gereed","G","Loopt","L","Geblokkeerd","B","Niet van toepassing","nvt","Niet gestart","-","-"),""))</f>
        <v/>
      </c>
      <c r="P15" s="33" t="str">
        <f aca="false">IF($A15="","",IFERROR(_xlfn.SWITCH(INDEX(Voortgang!$G$5:$G$504,MATCH($A15&amp;"|"&amp;TEXT(14,"00"),Voortgang!$M$5:$M$504,0)),"Gereed","G","Loopt","L","Geblokkeerd","B","Niet van toepassing","nvt","Niet gestart","-","-"),""))</f>
        <v/>
      </c>
      <c r="Q15" s="33" t="str">
        <f aca="false">IF($A15="","",IFERROR(_xlfn.SWITCH(INDEX(Voortgang!$G$5:$G$504,MATCH($A15&amp;"|"&amp;TEXT(15,"00"),Voortgang!$M$5:$M$504,0)),"Gereed","G","Loopt","L","Geblokkeerd","B","Niet van toepassing","nvt","Niet gestart","-","-"),""))</f>
        <v/>
      </c>
      <c r="R15" s="33" t="str">
        <f aca="false">IF($A15="","",IFERROR(_xlfn.SWITCH(INDEX(Voortgang!$G$5:$G$504,MATCH($A15&amp;"|"&amp;TEXT(16,"00"),Voortgang!$M$5:$M$504,0)),"Gereed","G","Loopt","L","Geblokkeerd","B","Niet van toepassing","nvt","Niet gestart","-","-"),""))</f>
        <v/>
      </c>
      <c r="S15" s="33" t="str">
        <f aca="false">IF($A15="","",IFERROR(_xlfn.SWITCH(INDEX(Voortgang!$G$5:$G$504,MATCH($A15&amp;"|"&amp;TEXT(17,"00"),Voortgang!$M$5:$M$504,0)),"Gereed","G","Loopt","L","Geblokkeerd","B","Niet van toepassing","nvt","Niet gestart","-","-"),""))</f>
        <v/>
      </c>
      <c r="T15" s="33" t="str">
        <f aca="false">IF($A15="","",IFERROR(_xlfn.SWITCH(INDEX(Voortgang!$G$5:$G$504,MATCH($A15&amp;"|"&amp;TEXT(18,"00"),Voortgang!$M$5:$M$504,0)),"Gereed","G","Loopt","L","Geblokkeerd","B","Niet van toepassing","nvt","Niet gestart","-","-"),""))</f>
        <v/>
      </c>
      <c r="U15" s="33" t="str">
        <f aca="false">IF($A15="","",IFERROR(_xlfn.SWITCH(INDEX(Voortgang!$G$5:$G$504,MATCH($A15&amp;"|"&amp;TEXT(19,"00"),Voortgang!$M$5:$M$504,0)),"Gereed","G","Loopt","L","Geblokkeerd","B","Niet van toepassing","nvt","Niet gestart","-","-"),""))</f>
        <v/>
      </c>
    </row>
    <row r="16" customFormat="false" ht="15" hidden="false" customHeight="false" outlineLevel="0" collapsed="false">
      <c r="A16" s="27" t="str">
        <f aca="false">IFERROR(IF(INDEX(Overzicht!$C$5:$C$44,12)="","",IF(INDEX(Overzicht!$C$5:$C$44,12)="Energiehub",INDEX(Overzicht!$A$5:$A$44,12),"")),"")</f>
        <v/>
      </c>
      <c r="B16" s="27" t="str">
        <f aca="false">IF($A16="","",INDEX(Overzicht!$B$5:$B$44,12))</f>
        <v/>
      </c>
      <c r="C16" s="33" t="str">
        <f aca="false">IF($A16="","",IFERROR(_xlfn.SWITCH(INDEX(Voortgang!$G$5:$G$504,MATCH($A16&amp;"|"&amp;TEXT(1,"00"),Voortgang!$M$5:$M$504,0)),"Gereed","G","Loopt","L","Geblokkeerd","B","Niet van toepassing","nvt","Niet gestart","-","-"),""))</f>
        <v/>
      </c>
      <c r="D16" s="33" t="str">
        <f aca="false">IF($A16="","",IFERROR(_xlfn.SWITCH(INDEX(Voortgang!$G$5:$G$504,MATCH($A16&amp;"|"&amp;TEXT(2,"00"),Voortgang!$M$5:$M$504,0)),"Gereed","G","Loopt","L","Geblokkeerd","B","Niet van toepassing","nvt","Niet gestart","-","-"),""))</f>
        <v/>
      </c>
      <c r="E16" s="33" t="str">
        <f aca="false">IF($A16="","",IFERROR(_xlfn.SWITCH(INDEX(Voortgang!$G$5:$G$504,MATCH($A16&amp;"|"&amp;TEXT(3,"00"),Voortgang!$M$5:$M$504,0)),"Gereed","G","Loopt","L","Geblokkeerd","B","Niet van toepassing","nvt","Niet gestart","-","-"),""))</f>
        <v/>
      </c>
      <c r="F16" s="33" t="str">
        <f aca="false">IF($A16="","",IFERROR(_xlfn.SWITCH(INDEX(Voortgang!$G$5:$G$504,MATCH($A16&amp;"|"&amp;TEXT(4,"00"),Voortgang!$M$5:$M$504,0)),"Gereed","G","Loopt","L","Geblokkeerd","B","Niet van toepassing","nvt","Niet gestart","-","-"),""))</f>
        <v/>
      </c>
      <c r="G16" s="33" t="str">
        <f aca="false">IF($A16="","",IFERROR(_xlfn.SWITCH(INDEX(Voortgang!$G$5:$G$504,MATCH($A16&amp;"|"&amp;TEXT(5,"00"),Voortgang!$M$5:$M$504,0)),"Gereed","G","Loopt","L","Geblokkeerd","B","Niet van toepassing","nvt","Niet gestart","-","-"),""))</f>
        <v/>
      </c>
      <c r="H16" s="33" t="str">
        <f aca="false">IF($A16="","",IFERROR(_xlfn.SWITCH(INDEX(Voortgang!$G$5:$G$504,MATCH($A16&amp;"|"&amp;TEXT(6,"00"),Voortgang!$M$5:$M$504,0)),"Gereed","G","Loopt","L","Geblokkeerd","B","Niet van toepassing","nvt","Niet gestart","-","-"),""))</f>
        <v/>
      </c>
      <c r="I16" s="33" t="str">
        <f aca="false">IF($A16="","",IFERROR(_xlfn.SWITCH(INDEX(Voortgang!$G$5:$G$504,MATCH($A16&amp;"|"&amp;TEXT(7,"00"),Voortgang!$M$5:$M$504,0)),"Gereed","G","Loopt","L","Geblokkeerd","B","Niet van toepassing","nvt","Niet gestart","-","-"),""))</f>
        <v/>
      </c>
      <c r="J16" s="33" t="str">
        <f aca="false">IF($A16="","",IFERROR(_xlfn.SWITCH(INDEX(Voortgang!$G$5:$G$504,MATCH($A16&amp;"|"&amp;TEXT(8,"00"),Voortgang!$M$5:$M$504,0)),"Gereed","G","Loopt","L","Geblokkeerd","B","Niet van toepassing","nvt","Niet gestart","-","-"),""))</f>
        <v/>
      </c>
      <c r="K16" s="33" t="str">
        <f aca="false">IF($A16="","",IFERROR(_xlfn.SWITCH(INDEX(Voortgang!$G$5:$G$504,MATCH($A16&amp;"|"&amp;TEXT(9,"00"),Voortgang!$M$5:$M$504,0)),"Gereed","G","Loopt","L","Geblokkeerd","B","Niet van toepassing","nvt","Niet gestart","-","-"),""))</f>
        <v/>
      </c>
      <c r="L16" s="33" t="str">
        <f aca="false">IF($A16="","",IFERROR(_xlfn.SWITCH(INDEX(Voortgang!$G$5:$G$504,MATCH($A16&amp;"|"&amp;TEXT(10,"00"),Voortgang!$M$5:$M$504,0)),"Gereed","G","Loopt","L","Geblokkeerd","B","Niet van toepassing","nvt","Niet gestart","-","-"),""))</f>
        <v/>
      </c>
      <c r="M16" s="33" t="str">
        <f aca="false">IF($A16="","",IFERROR(_xlfn.SWITCH(INDEX(Voortgang!$G$5:$G$504,MATCH($A16&amp;"|"&amp;TEXT(11,"00"),Voortgang!$M$5:$M$504,0)),"Gereed","G","Loopt","L","Geblokkeerd","B","Niet van toepassing","nvt","Niet gestart","-","-"),""))</f>
        <v/>
      </c>
      <c r="N16" s="33" t="str">
        <f aca="false">IF($A16="","",IFERROR(_xlfn.SWITCH(INDEX(Voortgang!$G$5:$G$504,MATCH($A16&amp;"|"&amp;TEXT(12,"00"),Voortgang!$M$5:$M$504,0)),"Gereed","G","Loopt","L","Geblokkeerd","B","Niet van toepassing","nvt","Niet gestart","-","-"),""))</f>
        <v/>
      </c>
      <c r="O16" s="33" t="str">
        <f aca="false">IF($A16="","",IFERROR(_xlfn.SWITCH(INDEX(Voortgang!$G$5:$G$504,MATCH($A16&amp;"|"&amp;TEXT(13,"00"),Voortgang!$M$5:$M$504,0)),"Gereed","G","Loopt","L","Geblokkeerd","B","Niet van toepassing","nvt","Niet gestart","-","-"),""))</f>
        <v/>
      </c>
      <c r="P16" s="33" t="str">
        <f aca="false">IF($A16="","",IFERROR(_xlfn.SWITCH(INDEX(Voortgang!$G$5:$G$504,MATCH($A16&amp;"|"&amp;TEXT(14,"00"),Voortgang!$M$5:$M$504,0)),"Gereed","G","Loopt","L","Geblokkeerd","B","Niet van toepassing","nvt","Niet gestart","-","-"),""))</f>
        <v/>
      </c>
      <c r="Q16" s="33" t="str">
        <f aca="false">IF($A16="","",IFERROR(_xlfn.SWITCH(INDEX(Voortgang!$G$5:$G$504,MATCH($A16&amp;"|"&amp;TEXT(15,"00"),Voortgang!$M$5:$M$504,0)),"Gereed","G","Loopt","L","Geblokkeerd","B","Niet van toepassing","nvt","Niet gestart","-","-"),""))</f>
        <v/>
      </c>
      <c r="R16" s="33" t="str">
        <f aca="false">IF($A16="","",IFERROR(_xlfn.SWITCH(INDEX(Voortgang!$G$5:$G$504,MATCH($A16&amp;"|"&amp;TEXT(16,"00"),Voortgang!$M$5:$M$504,0)),"Gereed","G","Loopt","L","Geblokkeerd","B","Niet van toepassing","nvt","Niet gestart","-","-"),""))</f>
        <v/>
      </c>
      <c r="S16" s="33" t="str">
        <f aca="false">IF($A16="","",IFERROR(_xlfn.SWITCH(INDEX(Voortgang!$G$5:$G$504,MATCH($A16&amp;"|"&amp;TEXT(17,"00"),Voortgang!$M$5:$M$504,0)),"Gereed","G","Loopt","L","Geblokkeerd","B","Niet van toepassing","nvt","Niet gestart","-","-"),""))</f>
        <v/>
      </c>
      <c r="T16" s="33" t="str">
        <f aca="false">IF($A16="","",IFERROR(_xlfn.SWITCH(INDEX(Voortgang!$G$5:$G$504,MATCH($A16&amp;"|"&amp;TEXT(18,"00"),Voortgang!$M$5:$M$504,0)),"Gereed","G","Loopt","L","Geblokkeerd","B","Niet van toepassing","nvt","Niet gestart","-","-"),""))</f>
        <v/>
      </c>
      <c r="U16" s="33" t="str">
        <f aca="false">IF($A16="","",IFERROR(_xlfn.SWITCH(INDEX(Voortgang!$G$5:$G$504,MATCH($A16&amp;"|"&amp;TEXT(19,"00"),Voortgang!$M$5:$M$504,0)),"Gereed","G","Loopt","L","Geblokkeerd","B","Niet van toepassing","nvt","Niet gestart","-","-"),""))</f>
        <v/>
      </c>
    </row>
    <row r="17" customFormat="false" ht="15" hidden="false" customHeight="false" outlineLevel="0" collapsed="false">
      <c r="A17" s="27" t="str">
        <f aca="false">IFERROR(IF(INDEX(Overzicht!$C$5:$C$44,13)="","",IF(INDEX(Overzicht!$C$5:$C$44,13)="Energiehub",INDEX(Overzicht!$A$5:$A$44,13),"")),"")</f>
        <v/>
      </c>
      <c r="B17" s="27" t="str">
        <f aca="false">IF($A17="","",INDEX(Overzicht!$B$5:$B$44,13))</f>
        <v/>
      </c>
      <c r="C17" s="33" t="str">
        <f aca="false">IF($A17="","",IFERROR(_xlfn.SWITCH(INDEX(Voortgang!$G$5:$G$504,MATCH($A17&amp;"|"&amp;TEXT(1,"00"),Voortgang!$M$5:$M$504,0)),"Gereed","G","Loopt","L","Geblokkeerd","B","Niet van toepassing","nvt","Niet gestart","-","-"),""))</f>
        <v/>
      </c>
      <c r="D17" s="33" t="str">
        <f aca="false">IF($A17="","",IFERROR(_xlfn.SWITCH(INDEX(Voortgang!$G$5:$G$504,MATCH($A17&amp;"|"&amp;TEXT(2,"00"),Voortgang!$M$5:$M$504,0)),"Gereed","G","Loopt","L","Geblokkeerd","B","Niet van toepassing","nvt","Niet gestart","-","-"),""))</f>
        <v/>
      </c>
      <c r="E17" s="33" t="str">
        <f aca="false">IF($A17="","",IFERROR(_xlfn.SWITCH(INDEX(Voortgang!$G$5:$G$504,MATCH($A17&amp;"|"&amp;TEXT(3,"00"),Voortgang!$M$5:$M$504,0)),"Gereed","G","Loopt","L","Geblokkeerd","B","Niet van toepassing","nvt","Niet gestart","-","-"),""))</f>
        <v/>
      </c>
      <c r="F17" s="33" t="str">
        <f aca="false">IF($A17="","",IFERROR(_xlfn.SWITCH(INDEX(Voortgang!$G$5:$G$504,MATCH($A17&amp;"|"&amp;TEXT(4,"00"),Voortgang!$M$5:$M$504,0)),"Gereed","G","Loopt","L","Geblokkeerd","B","Niet van toepassing","nvt","Niet gestart","-","-"),""))</f>
        <v/>
      </c>
      <c r="G17" s="33" t="str">
        <f aca="false">IF($A17="","",IFERROR(_xlfn.SWITCH(INDEX(Voortgang!$G$5:$G$504,MATCH($A17&amp;"|"&amp;TEXT(5,"00"),Voortgang!$M$5:$M$504,0)),"Gereed","G","Loopt","L","Geblokkeerd","B","Niet van toepassing","nvt","Niet gestart","-","-"),""))</f>
        <v/>
      </c>
      <c r="H17" s="33" t="str">
        <f aca="false">IF($A17="","",IFERROR(_xlfn.SWITCH(INDEX(Voortgang!$G$5:$G$504,MATCH($A17&amp;"|"&amp;TEXT(6,"00"),Voortgang!$M$5:$M$504,0)),"Gereed","G","Loopt","L","Geblokkeerd","B","Niet van toepassing","nvt","Niet gestart","-","-"),""))</f>
        <v/>
      </c>
      <c r="I17" s="33" t="str">
        <f aca="false">IF($A17="","",IFERROR(_xlfn.SWITCH(INDEX(Voortgang!$G$5:$G$504,MATCH($A17&amp;"|"&amp;TEXT(7,"00"),Voortgang!$M$5:$M$504,0)),"Gereed","G","Loopt","L","Geblokkeerd","B","Niet van toepassing","nvt","Niet gestart","-","-"),""))</f>
        <v/>
      </c>
      <c r="J17" s="33" t="str">
        <f aca="false">IF($A17="","",IFERROR(_xlfn.SWITCH(INDEX(Voortgang!$G$5:$G$504,MATCH($A17&amp;"|"&amp;TEXT(8,"00"),Voortgang!$M$5:$M$504,0)),"Gereed","G","Loopt","L","Geblokkeerd","B","Niet van toepassing","nvt","Niet gestart","-","-"),""))</f>
        <v/>
      </c>
      <c r="K17" s="33" t="str">
        <f aca="false">IF($A17="","",IFERROR(_xlfn.SWITCH(INDEX(Voortgang!$G$5:$G$504,MATCH($A17&amp;"|"&amp;TEXT(9,"00"),Voortgang!$M$5:$M$504,0)),"Gereed","G","Loopt","L","Geblokkeerd","B","Niet van toepassing","nvt","Niet gestart","-","-"),""))</f>
        <v/>
      </c>
      <c r="L17" s="33" t="str">
        <f aca="false">IF($A17="","",IFERROR(_xlfn.SWITCH(INDEX(Voortgang!$G$5:$G$504,MATCH($A17&amp;"|"&amp;TEXT(10,"00"),Voortgang!$M$5:$M$504,0)),"Gereed","G","Loopt","L","Geblokkeerd","B","Niet van toepassing","nvt","Niet gestart","-","-"),""))</f>
        <v/>
      </c>
      <c r="M17" s="33" t="str">
        <f aca="false">IF($A17="","",IFERROR(_xlfn.SWITCH(INDEX(Voortgang!$G$5:$G$504,MATCH($A17&amp;"|"&amp;TEXT(11,"00"),Voortgang!$M$5:$M$504,0)),"Gereed","G","Loopt","L","Geblokkeerd","B","Niet van toepassing","nvt","Niet gestart","-","-"),""))</f>
        <v/>
      </c>
      <c r="N17" s="33" t="str">
        <f aca="false">IF($A17="","",IFERROR(_xlfn.SWITCH(INDEX(Voortgang!$G$5:$G$504,MATCH($A17&amp;"|"&amp;TEXT(12,"00"),Voortgang!$M$5:$M$504,0)),"Gereed","G","Loopt","L","Geblokkeerd","B","Niet van toepassing","nvt","Niet gestart","-","-"),""))</f>
        <v/>
      </c>
      <c r="O17" s="33" t="str">
        <f aca="false">IF($A17="","",IFERROR(_xlfn.SWITCH(INDEX(Voortgang!$G$5:$G$504,MATCH($A17&amp;"|"&amp;TEXT(13,"00"),Voortgang!$M$5:$M$504,0)),"Gereed","G","Loopt","L","Geblokkeerd","B","Niet van toepassing","nvt","Niet gestart","-","-"),""))</f>
        <v/>
      </c>
      <c r="P17" s="33" t="str">
        <f aca="false">IF($A17="","",IFERROR(_xlfn.SWITCH(INDEX(Voortgang!$G$5:$G$504,MATCH($A17&amp;"|"&amp;TEXT(14,"00"),Voortgang!$M$5:$M$504,0)),"Gereed","G","Loopt","L","Geblokkeerd","B","Niet van toepassing","nvt","Niet gestart","-","-"),""))</f>
        <v/>
      </c>
      <c r="Q17" s="33" t="str">
        <f aca="false">IF($A17="","",IFERROR(_xlfn.SWITCH(INDEX(Voortgang!$G$5:$G$504,MATCH($A17&amp;"|"&amp;TEXT(15,"00"),Voortgang!$M$5:$M$504,0)),"Gereed","G","Loopt","L","Geblokkeerd","B","Niet van toepassing","nvt","Niet gestart","-","-"),""))</f>
        <v/>
      </c>
      <c r="R17" s="33" t="str">
        <f aca="false">IF($A17="","",IFERROR(_xlfn.SWITCH(INDEX(Voortgang!$G$5:$G$504,MATCH($A17&amp;"|"&amp;TEXT(16,"00"),Voortgang!$M$5:$M$504,0)),"Gereed","G","Loopt","L","Geblokkeerd","B","Niet van toepassing","nvt","Niet gestart","-","-"),""))</f>
        <v/>
      </c>
      <c r="S17" s="33" t="str">
        <f aca="false">IF($A17="","",IFERROR(_xlfn.SWITCH(INDEX(Voortgang!$G$5:$G$504,MATCH($A17&amp;"|"&amp;TEXT(17,"00"),Voortgang!$M$5:$M$504,0)),"Gereed","G","Loopt","L","Geblokkeerd","B","Niet van toepassing","nvt","Niet gestart","-","-"),""))</f>
        <v/>
      </c>
      <c r="T17" s="33" t="str">
        <f aca="false">IF($A17="","",IFERROR(_xlfn.SWITCH(INDEX(Voortgang!$G$5:$G$504,MATCH($A17&amp;"|"&amp;TEXT(18,"00"),Voortgang!$M$5:$M$504,0)),"Gereed","G","Loopt","L","Geblokkeerd","B","Niet van toepassing","nvt","Niet gestart","-","-"),""))</f>
        <v/>
      </c>
      <c r="U17" s="33" t="str">
        <f aca="false">IF($A17="","",IFERROR(_xlfn.SWITCH(INDEX(Voortgang!$G$5:$G$504,MATCH($A17&amp;"|"&amp;TEXT(19,"00"),Voortgang!$M$5:$M$504,0)),"Gereed","G","Loopt","L","Geblokkeerd","B","Niet van toepassing","nvt","Niet gestart","-","-"),""))</f>
        <v/>
      </c>
    </row>
    <row r="18" customFormat="false" ht="15" hidden="false" customHeight="false" outlineLevel="0" collapsed="false">
      <c r="A18" s="27" t="str">
        <f aca="false">IFERROR(IF(INDEX(Overzicht!$C$5:$C$44,14)="","",IF(INDEX(Overzicht!$C$5:$C$44,14)="Energiehub",INDEX(Overzicht!$A$5:$A$44,14),"")),"")</f>
        <v/>
      </c>
      <c r="B18" s="27" t="str">
        <f aca="false">IF($A18="","",INDEX(Overzicht!$B$5:$B$44,14))</f>
        <v/>
      </c>
      <c r="C18" s="33" t="str">
        <f aca="false">IF($A18="","",IFERROR(_xlfn.SWITCH(INDEX(Voortgang!$G$5:$G$504,MATCH($A18&amp;"|"&amp;TEXT(1,"00"),Voortgang!$M$5:$M$504,0)),"Gereed","G","Loopt","L","Geblokkeerd","B","Niet van toepassing","nvt","Niet gestart","-","-"),""))</f>
        <v/>
      </c>
      <c r="D18" s="33" t="str">
        <f aca="false">IF($A18="","",IFERROR(_xlfn.SWITCH(INDEX(Voortgang!$G$5:$G$504,MATCH($A18&amp;"|"&amp;TEXT(2,"00"),Voortgang!$M$5:$M$504,0)),"Gereed","G","Loopt","L","Geblokkeerd","B","Niet van toepassing","nvt","Niet gestart","-","-"),""))</f>
        <v/>
      </c>
      <c r="E18" s="33" t="str">
        <f aca="false">IF($A18="","",IFERROR(_xlfn.SWITCH(INDEX(Voortgang!$G$5:$G$504,MATCH($A18&amp;"|"&amp;TEXT(3,"00"),Voortgang!$M$5:$M$504,0)),"Gereed","G","Loopt","L","Geblokkeerd","B","Niet van toepassing","nvt","Niet gestart","-","-"),""))</f>
        <v/>
      </c>
      <c r="F18" s="33" t="str">
        <f aca="false">IF($A18="","",IFERROR(_xlfn.SWITCH(INDEX(Voortgang!$G$5:$G$504,MATCH($A18&amp;"|"&amp;TEXT(4,"00"),Voortgang!$M$5:$M$504,0)),"Gereed","G","Loopt","L","Geblokkeerd","B","Niet van toepassing","nvt","Niet gestart","-","-"),""))</f>
        <v/>
      </c>
      <c r="G18" s="33" t="str">
        <f aca="false">IF($A18="","",IFERROR(_xlfn.SWITCH(INDEX(Voortgang!$G$5:$G$504,MATCH($A18&amp;"|"&amp;TEXT(5,"00"),Voortgang!$M$5:$M$504,0)),"Gereed","G","Loopt","L","Geblokkeerd","B","Niet van toepassing","nvt","Niet gestart","-","-"),""))</f>
        <v/>
      </c>
      <c r="H18" s="33" t="str">
        <f aca="false">IF($A18="","",IFERROR(_xlfn.SWITCH(INDEX(Voortgang!$G$5:$G$504,MATCH($A18&amp;"|"&amp;TEXT(6,"00"),Voortgang!$M$5:$M$504,0)),"Gereed","G","Loopt","L","Geblokkeerd","B","Niet van toepassing","nvt","Niet gestart","-","-"),""))</f>
        <v/>
      </c>
      <c r="I18" s="33" t="str">
        <f aca="false">IF($A18="","",IFERROR(_xlfn.SWITCH(INDEX(Voortgang!$G$5:$G$504,MATCH($A18&amp;"|"&amp;TEXT(7,"00"),Voortgang!$M$5:$M$504,0)),"Gereed","G","Loopt","L","Geblokkeerd","B","Niet van toepassing","nvt","Niet gestart","-","-"),""))</f>
        <v/>
      </c>
      <c r="J18" s="33" t="str">
        <f aca="false">IF($A18="","",IFERROR(_xlfn.SWITCH(INDEX(Voortgang!$G$5:$G$504,MATCH($A18&amp;"|"&amp;TEXT(8,"00"),Voortgang!$M$5:$M$504,0)),"Gereed","G","Loopt","L","Geblokkeerd","B","Niet van toepassing","nvt","Niet gestart","-","-"),""))</f>
        <v/>
      </c>
      <c r="K18" s="33" t="str">
        <f aca="false">IF($A18="","",IFERROR(_xlfn.SWITCH(INDEX(Voortgang!$G$5:$G$504,MATCH($A18&amp;"|"&amp;TEXT(9,"00"),Voortgang!$M$5:$M$504,0)),"Gereed","G","Loopt","L","Geblokkeerd","B","Niet van toepassing","nvt","Niet gestart","-","-"),""))</f>
        <v/>
      </c>
      <c r="L18" s="33" t="str">
        <f aca="false">IF($A18="","",IFERROR(_xlfn.SWITCH(INDEX(Voortgang!$G$5:$G$504,MATCH($A18&amp;"|"&amp;TEXT(10,"00"),Voortgang!$M$5:$M$504,0)),"Gereed","G","Loopt","L","Geblokkeerd","B","Niet van toepassing","nvt","Niet gestart","-","-"),""))</f>
        <v/>
      </c>
      <c r="M18" s="33" t="str">
        <f aca="false">IF($A18="","",IFERROR(_xlfn.SWITCH(INDEX(Voortgang!$G$5:$G$504,MATCH($A18&amp;"|"&amp;TEXT(11,"00"),Voortgang!$M$5:$M$504,0)),"Gereed","G","Loopt","L","Geblokkeerd","B","Niet van toepassing","nvt","Niet gestart","-","-"),""))</f>
        <v/>
      </c>
      <c r="N18" s="33" t="str">
        <f aca="false">IF($A18="","",IFERROR(_xlfn.SWITCH(INDEX(Voortgang!$G$5:$G$504,MATCH($A18&amp;"|"&amp;TEXT(12,"00"),Voortgang!$M$5:$M$504,0)),"Gereed","G","Loopt","L","Geblokkeerd","B","Niet van toepassing","nvt","Niet gestart","-","-"),""))</f>
        <v/>
      </c>
      <c r="O18" s="33" t="str">
        <f aca="false">IF($A18="","",IFERROR(_xlfn.SWITCH(INDEX(Voortgang!$G$5:$G$504,MATCH($A18&amp;"|"&amp;TEXT(13,"00"),Voortgang!$M$5:$M$504,0)),"Gereed","G","Loopt","L","Geblokkeerd","B","Niet van toepassing","nvt","Niet gestart","-","-"),""))</f>
        <v/>
      </c>
      <c r="P18" s="33" t="str">
        <f aca="false">IF($A18="","",IFERROR(_xlfn.SWITCH(INDEX(Voortgang!$G$5:$G$504,MATCH($A18&amp;"|"&amp;TEXT(14,"00"),Voortgang!$M$5:$M$504,0)),"Gereed","G","Loopt","L","Geblokkeerd","B","Niet van toepassing","nvt","Niet gestart","-","-"),""))</f>
        <v/>
      </c>
      <c r="Q18" s="33" t="str">
        <f aca="false">IF($A18="","",IFERROR(_xlfn.SWITCH(INDEX(Voortgang!$G$5:$G$504,MATCH($A18&amp;"|"&amp;TEXT(15,"00"),Voortgang!$M$5:$M$504,0)),"Gereed","G","Loopt","L","Geblokkeerd","B","Niet van toepassing","nvt","Niet gestart","-","-"),""))</f>
        <v/>
      </c>
      <c r="R18" s="33" t="str">
        <f aca="false">IF($A18="","",IFERROR(_xlfn.SWITCH(INDEX(Voortgang!$G$5:$G$504,MATCH($A18&amp;"|"&amp;TEXT(16,"00"),Voortgang!$M$5:$M$504,0)),"Gereed","G","Loopt","L","Geblokkeerd","B","Niet van toepassing","nvt","Niet gestart","-","-"),""))</f>
        <v/>
      </c>
      <c r="S18" s="33" t="str">
        <f aca="false">IF($A18="","",IFERROR(_xlfn.SWITCH(INDEX(Voortgang!$G$5:$G$504,MATCH($A18&amp;"|"&amp;TEXT(17,"00"),Voortgang!$M$5:$M$504,0)),"Gereed","G","Loopt","L","Geblokkeerd","B","Niet van toepassing","nvt","Niet gestart","-","-"),""))</f>
        <v/>
      </c>
      <c r="T18" s="33" t="str">
        <f aca="false">IF($A18="","",IFERROR(_xlfn.SWITCH(INDEX(Voortgang!$G$5:$G$504,MATCH($A18&amp;"|"&amp;TEXT(18,"00"),Voortgang!$M$5:$M$504,0)),"Gereed","G","Loopt","L","Geblokkeerd","B","Niet van toepassing","nvt","Niet gestart","-","-"),""))</f>
        <v/>
      </c>
      <c r="U18" s="33" t="str">
        <f aca="false">IF($A18="","",IFERROR(_xlfn.SWITCH(INDEX(Voortgang!$G$5:$G$504,MATCH($A18&amp;"|"&amp;TEXT(19,"00"),Voortgang!$M$5:$M$504,0)),"Gereed","G","Loopt","L","Geblokkeerd","B","Niet van toepassing","nvt","Niet gestart","-","-"),""))</f>
        <v/>
      </c>
    </row>
    <row r="19" customFormat="false" ht="15" hidden="false" customHeight="false" outlineLevel="0" collapsed="false">
      <c r="A19" s="27" t="str">
        <f aca="false">IFERROR(IF(INDEX(Overzicht!$C$5:$C$44,15)="","",IF(INDEX(Overzicht!$C$5:$C$44,15)="Energiehub",INDEX(Overzicht!$A$5:$A$44,15),"")),"")</f>
        <v/>
      </c>
      <c r="B19" s="27" t="str">
        <f aca="false">IF($A19="","",INDEX(Overzicht!$B$5:$B$44,15))</f>
        <v/>
      </c>
      <c r="C19" s="33" t="str">
        <f aca="false">IF($A19="","",IFERROR(_xlfn.SWITCH(INDEX(Voortgang!$G$5:$G$504,MATCH($A19&amp;"|"&amp;TEXT(1,"00"),Voortgang!$M$5:$M$504,0)),"Gereed","G","Loopt","L","Geblokkeerd","B","Niet van toepassing","nvt","Niet gestart","-","-"),""))</f>
        <v/>
      </c>
      <c r="D19" s="33" t="str">
        <f aca="false">IF($A19="","",IFERROR(_xlfn.SWITCH(INDEX(Voortgang!$G$5:$G$504,MATCH($A19&amp;"|"&amp;TEXT(2,"00"),Voortgang!$M$5:$M$504,0)),"Gereed","G","Loopt","L","Geblokkeerd","B","Niet van toepassing","nvt","Niet gestart","-","-"),""))</f>
        <v/>
      </c>
      <c r="E19" s="33" t="str">
        <f aca="false">IF($A19="","",IFERROR(_xlfn.SWITCH(INDEX(Voortgang!$G$5:$G$504,MATCH($A19&amp;"|"&amp;TEXT(3,"00"),Voortgang!$M$5:$M$504,0)),"Gereed","G","Loopt","L","Geblokkeerd","B","Niet van toepassing","nvt","Niet gestart","-","-"),""))</f>
        <v/>
      </c>
      <c r="F19" s="33" t="str">
        <f aca="false">IF($A19="","",IFERROR(_xlfn.SWITCH(INDEX(Voortgang!$G$5:$G$504,MATCH($A19&amp;"|"&amp;TEXT(4,"00"),Voortgang!$M$5:$M$504,0)),"Gereed","G","Loopt","L","Geblokkeerd","B","Niet van toepassing","nvt","Niet gestart","-","-"),""))</f>
        <v/>
      </c>
      <c r="G19" s="33" t="str">
        <f aca="false">IF($A19="","",IFERROR(_xlfn.SWITCH(INDEX(Voortgang!$G$5:$G$504,MATCH($A19&amp;"|"&amp;TEXT(5,"00"),Voortgang!$M$5:$M$504,0)),"Gereed","G","Loopt","L","Geblokkeerd","B","Niet van toepassing","nvt","Niet gestart","-","-"),""))</f>
        <v/>
      </c>
      <c r="H19" s="33" t="str">
        <f aca="false">IF($A19="","",IFERROR(_xlfn.SWITCH(INDEX(Voortgang!$G$5:$G$504,MATCH($A19&amp;"|"&amp;TEXT(6,"00"),Voortgang!$M$5:$M$504,0)),"Gereed","G","Loopt","L","Geblokkeerd","B","Niet van toepassing","nvt","Niet gestart","-","-"),""))</f>
        <v/>
      </c>
      <c r="I19" s="33" t="str">
        <f aca="false">IF($A19="","",IFERROR(_xlfn.SWITCH(INDEX(Voortgang!$G$5:$G$504,MATCH($A19&amp;"|"&amp;TEXT(7,"00"),Voortgang!$M$5:$M$504,0)),"Gereed","G","Loopt","L","Geblokkeerd","B","Niet van toepassing","nvt","Niet gestart","-","-"),""))</f>
        <v/>
      </c>
      <c r="J19" s="33" t="str">
        <f aca="false">IF($A19="","",IFERROR(_xlfn.SWITCH(INDEX(Voortgang!$G$5:$G$504,MATCH($A19&amp;"|"&amp;TEXT(8,"00"),Voortgang!$M$5:$M$504,0)),"Gereed","G","Loopt","L","Geblokkeerd","B","Niet van toepassing","nvt","Niet gestart","-","-"),""))</f>
        <v/>
      </c>
      <c r="K19" s="33" t="str">
        <f aca="false">IF($A19="","",IFERROR(_xlfn.SWITCH(INDEX(Voortgang!$G$5:$G$504,MATCH($A19&amp;"|"&amp;TEXT(9,"00"),Voortgang!$M$5:$M$504,0)),"Gereed","G","Loopt","L","Geblokkeerd","B","Niet van toepassing","nvt","Niet gestart","-","-"),""))</f>
        <v/>
      </c>
      <c r="L19" s="33" t="str">
        <f aca="false">IF($A19="","",IFERROR(_xlfn.SWITCH(INDEX(Voortgang!$G$5:$G$504,MATCH($A19&amp;"|"&amp;TEXT(10,"00"),Voortgang!$M$5:$M$504,0)),"Gereed","G","Loopt","L","Geblokkeerd","B","Niet van toepassing","nvt","Niet gestart","-","-"),""))</f>
        <v/>
      </c>
      <c r="M19" s="33" t="str">
        <f aca="false">IF($A19="","",IFERROR(_xlfn.SWITCH(INDEX(Voortgang!$G$5:$G$504,MATCH($A19&amp;"|"&amp;TEXT(11,"00"),Voortgang!$M$5:$M$504,0)),"Gereed","G","Loopt","L","Geblokkeerd","B","Niet van toepassing","nvt","Niet gestart","-","-"),""))</f>
        <v/>
      </c>
      <c r="N19" s="33" t="str">
        <f aca="false">IF($A19="","",IFERROR(_xlfn.SWITCH(INDEX(Voortgang!$G$5:$G$504,MATCH($A19&amp;"|"&amp;TEXT(12,"00"),Voortgang!$M$5:$M$504,0)),"Gereed","G","Loopt","L","Geblokkeerd","B","Niet van toepassing","nvt","Niet gestart","-","-"),""))</f>
        <v/>
      </c>
      <c r="O19" s="33" t="str">
        <f aca="false">IF($A19="","",IFERROR(_xlfn.SWITCH(INDEX(Voortgang!$G$5:$G$504,MATCH($A19&amp;"|"&amp;TEXT(13,"00"),Voortgang!$M$5:$M$504,0)),"Gereed","G","Loopt","L","Geblokkeerd","B","Niet van toepassing","nvt","Niet gestart","-","-"),""))</f>
        <v/>
      </c>
      <c r="P19" s="33" t="str">
        <f aca="false">IF($A19="","",IFERROR(_xlfn.SWITCH(INDEX(Voortgang!$G$5:$G$504,MATCH($A19&amp;"|"&amp;TEXT(14,"00"),Voortgang!$M$5:$M$504,0)),"Gereed","G","Loopt","L","Geblokkeerd","B","Niet van toepassing","nvt","Niet gestart","-","-"),""))</f>
        <v/>
      </c>
      <c r="Q19" s="33" t="str">
        <f aca="false">IF($A19="","",IFERROR(_xlfn.SWITCH(INDEX(Voortgang!$G$5:$G$504,MATCH($A19&amp;"|"&amp;TEXT(15,"00"),Voortgang!$M$5:$M$504,0)),"Gereed","G","Loopt","L","Geblokkeerd","B","Niet van toepassing","nvt","Niet gestart","-","-"),""))</f>
        <v/>
      </c>
      <c r="R19" s="33" t="str">
        <f aca="false">IF($A19="","",IFERROR(_xlfn.SWITCH(INDEX(Voortgang!$G$5:$G$504,MATCH($A19&amp;"|"&amp;TEXT(16,"00"),Voortgang!$M$5:$M$504,0)),"Gereed","G","Loopt","L","Geblokkeerd","B","Niet van toepassing","nvt","Niet gestart","-","-"),""))</f>
        <v/>
      </c>
      <c r="S19" s="33" t="str">
        <f aca="false">IF($A19="","",IFERROR(_xlfn.SWITCH(INDEX(Voortgang!$G$5:$G$504,MATCH($A19&amp;"|"&amp;TEXT(17,"00"),Voortgang!$M$5:$M$504,0)),"Gereed","G","Loopt","L","Geblokkeerd","B","Niet van toepassing","nvt","Niet gestart","-","-"),""))</f>
        <v/>
      </c>
      <c r="T19" s="33" t="str">
        <f aca="false">IF($A19="","",IFERROR(_xlfn.SWITCH(INDEX(Voortgang!$G$5:$G$504,MATCH($A19&amp;"|"&amp;TEXT(18,"00"),Voortgang!$M$5:$M$504,0)),"Gereed","G","Loopt","L","Geblokkeerd","B","Niet van toepassing","nvt","Niet gestart","-","-"),""))</f>
        <v/>
      </c>
      <c r="U19" s="33" t="str">
        <f aca="false">IF($A19="","",IFERROR(_xlfn.SWITCH(INDEX(Voortgang!$G$5:$G$504,MATCH($A19&amp;"|"&amp;TEXT(19,"00"),Voortgang!$M$5:$M$504,0)),"Gereed","G","Loopt","L","Geblokkeerd","B","Niet van toepassing","nvt","Niet gestart","-","-"),""))</f>
        <v/>
      </c>
    </row>
    <row r="20" customFormat="false" ht="15" hidden="false" customHeight="false" outlineLevel="0" collapsed="false">
      <c r="A20" s="27" t="str">
        <f aca="false">IFERROR(IF(INDEX(Overzicht!$C$5:$C$44,16)="","",IF(INDEX(Overzicht!$C$5:$C$44,16)="Energiehub",INDEX(Overzicht!$A$5:$A$44,16),"")),"")</f>
        <v/>
      </c>
      <c r="B20" s="27" t="str">
        <f aca="false">IF($A20="","",INDEX(Overzicht!$B$5:$B$44,16))</f>
        <v/>
      </c>
      <c r="C20" s="33" t="str">
        <f aca="false">IF($A20="","",IFERROR(_xlfn.SWITCH(INDEX(Voortgang!$G$5:$G$504,MATCH($A20&amp;"|"&amp;TEXT(1,"00"),Voortgang!$M$5:$M$504,0)),"Gereed","G","Loopt","L","Geblokkeerd","B","Niet van toepassing","nvt","Niet gestart","-","-"),""))</f>
        <v/>
      </c>
      <c r="D20" s="33" t="str">
        <f aca="false">IF($A20="","",IFERROR(_xlfn.SWITCH(INDEX(Voortgang!$G$5:$G$504,MATCH($A20&amp;"|"&amp;TEXT(2,"00"),Voortgang!$M$5:$M$504,0)),"Gereed","G","Loopt","L","Geblokkeerd","B","Niet van toepassing","nvt","Niet gestart","-","-"),""))</f>
        <v/>
      </c>
      <c r="E20" s="33" t="str">
        <f aca="false">IF($A20="","",IFERROR(_xlfn.SWITCH(INDEX(Voortgang!$G$5:$G$504,MATCH($A20&amp;"|"&amp;TEXT(3,"00"),Voortgang!$M$5:$M$504,0)),"Gereed","G","Loopt","L","Geblokkeerd","B","Niet van toepassing","nvt","Niet gestart","-","-"),""))</f>
        <v/>
      </c>
      <c r="F20" s="33" t="str">
        <f aca="false">IF($A20="","",IFERROR(_xlfn.SWITCH(INDEX(Voortgang!$G$5:$G$504,MATCH($A20&amp;"|"&amp;TEXT(4,"00"),Voortgang!$M$5:$M$504,0)),"Gereed","G","Loopt","L","Geblokkeerd","B","Niet van toepassing","nvt","Niet gestart","-","-"),""))</f>
        <v/>
      </c>
      <c r="G20" s="33" t="str">
        <f aca="false">IF($A20="","",IFERROR(_xlfn.SWITCH(INDEX(Voortgang!$G$5:$G$504,MATCH($A20&amp;"|"&amp;TEXT(5,"00"),Voortgang!$M$5:$M$504,0)),"Gereed","G","Loopt","L","Geblokkeerd","B","Niet van toepassing","nvt","Niet gestart","-","-"),""))</f>
        <v/>
      </c>
      <c r="H20" s="33" t="str">
        <f aca="false">IF($A20="","",IFERROR(_xlfn.SWITCH(INDEX(Voortgang!$G$5:$G$504,MATCH($A20&amp;"|"&amp;TEXT(6,"00"),Voortgang!$M$5:$M$504,0)),"Gereed","G","Loopt","L","Geblokkeerd","B","Niet van toepassing","nvt","Niet gestart","-","-"),""))</f>
        <v/>
      </c>
      <c r="I20" s="33" t="str">
        <f aca="false">IF($A20="","",IFERROR(_xlfn.SWITCH(INDEX(Voortgang!$G$5:$G$504,MATCH($A20&amp;"|"&amp;TEXT(7,"00"),Voortgang!$M$5:$M$504,0)),"Gereed","G","Loopt","L","Geblokkeerd","B","Niet van toepassing","nvt","Niet gestart","-","-"),""))</f>
        <v/>
      </c>
      <c r="J20" s="33" t="str">
        <f aca="false">IF($A20="","",IFERROR(_xlfn.SWITCH(INDEX(Voortgang!$G$5:$G$504,MATCH($A20&amp;"|"&amp;TEXT(8,"00"),Voortgang!$M$5:$M$504,0)),"Gereed","G","Loopt","L","Geblokkeerd","B","Niet van toepassing","nvt","Niet gestart","-","-"),""))</f>
        <v/>
      </c>
      <c r="K20" s="33" t="str">
        <f aca="false">IF($A20="","",IFERROR(_xlfn.SWITCH(INDEX(Voortgang!$G$5:$G$504,MATCH($A20&amp;"|"&amp;TEXT(9,"00"),Voortgang!$M$5:$M$504,0)),"Gereed","G","Loopt","L","Geblokkeerd","B","Niet van toepassing","nvt","Niet gestart","-","-"),""))</f>
        <v/>
      </c>
      <c r="L20" s="33" t="str">
        <f aca="false">IF($A20="","",IFERROR(_xlfn.SWITCH(INDEX(Voortgang!$G$5:$G$504,MATCH($A20&amp;"|"&amp;TEXT(10,"00"),Voortgang!$M$5:$M$504,0)),"Gereed","G","Loopt","L","Geblokkeerd","B","Niet van toepassing","nvt","Niet gestart","-","-"),""))</f>
        <v/>
      </c>
      <c r="M20" s="33" t="str">
        <f aca="false">IF($A20="","",IFERROR(_xlfn.SWITCH(INDEX(Voortgang!$G$5:$G$504,MATCH($A20&amp;"|"&amp;TEXT(11,"00"),Voortgang!$M$5:$M$504,0)),"Gereed","G","Loopt","L","Geblokkeerd","B","Niet van toepassing","nvt","Niet gestart","-","-"),""))</f>
        <v/>
      </c>
      <c r="N20" s="33" t="str">
        <f aca="false">IF($A20="","",IFERROR(_xlfn.SWITCH(INDEX(Voortgang!$G$5:$G$504,MATCH($A20&amp;"|"&amp;TEXT(12,"00"),Voortgang!$M$5:$M$504,0)),"Gereed","G","Loopt","L","Geblokkeerd","B","Niet van toepassing","nvt","Niet gestart","-","-"),""))</f>
        <v/>
      </c>
      <c r="O20" s="33" t="str">
        <f aca="false">IF($A20="","",IFERROR(_xlfn.SWITCH(INDEX(Voortgang!$G$5:$G$504,MATCH($A20&amp;"|"&amp;TEXT(13,"00"),Voortgang!$M$5:$M$504,0)),"Gereed","G","Loopt","L","Geblokkeerd","B","Niet van toepassing","nvt","Niet gestart","-","-"),""))</f>
        <v/>
      </c>
      <c r="P20" s="33" t="str">
        <f aca="false">IF($A20="","",IFERROR(_xlfn.SWITCH(INDEX(Voortgang!$G$5:$G$504,MATCH($A20&amp;"|"&amp;TEXT(14,"00"),Voortgang!$M$5:$M$504,0)),"Gereed","G","Loopt","L","Geblokkeerd","B","Niet van toepassing","nvt","Niet gestart","-","-"),""))</f>
        <v/>
      </c>
      <c r="Q20" s="33" t="str">
        <f aca="false">IF($A20="","",IFERROR(_xlfn.SWITCH(INDEX(Voortgang!$G$5:$G$504,MATCH($A20&amp;"|"&amp;TEXT(15,"00"),Voortgang!$M$5:$M$504,0)),"Gereed","G","Loopt","L","Geblokkeerd","B","Niet van toepassing","nvt","Niet gestart","-","-"),""))</f>
        <v/>
      </c>
      <c r="R20" s="33" t="str">
        <f aca="false">IF($A20="","",IFERROR(_xlfn.SWITCH(INDEX(Voortgang!$G$5:$G$504,MATCH($A20&amp;"|"&amp;TEXT(16,"00"),Voortgang!$M$5:$M$504,0)),"Gereed","G","Loopt","L","Geblokkeerd","B","Niet van toepassing","nvt","Niet gestart","-","-"),""))</f>
        <v/>
      </c>
      <c r="S20" s="33" t="str">
        <f aca="false">IF($A20="","",IFERROR(_xlfn.SWITCH(INDEX(Voortgang!$G$5:$G$504,MATCH($A20&amp;"|"&amp;TEXT(17,"00"),Voortgang!$M$5:$M$504,0)),"Gereed","G","Loopt","L","Geblokkeerd","B","Niet van toepassing","nvt","Niet gestart","-","-"),""))</f>
        <v/>
      </c>
      <c r="T20" s="33" t="str">
        <f aca="false">IF($A20="","",IFERROR(_xlfn.SWITCH(INDEX(Voortgang!$G$5:$G$504,MATCH($A20&amp;"|"&amp;TEXT(18,"00"),Voortgang!$M$5:$M$504,0)),"Gereed","G","Loopt","L","Geblokkeerd","B","Niet van toepassing","nvt","Niet gestart","-","-"),""))</f>
        <v/>
      </c>
      <c r="U20" s="33" t="str">
        <f aca="false">IF($A20="","",IFERROR(_xlfn.SWITCH(INDEX(Voortgang!$G$5:$G$504,MATCH($A20&amp;"|"&amp;TEXT(19,"00"),Voortgang!$M$5:$M$504,0)),"Gereed","G","Loopt","L","Geblokkeerd","B","Niet van toepassing","nvt","Niet gestart","-","-"),""))</f>
        <v/>
      </c>
    </row>
    <row r="21" customFormat="false" ht="15" hidden="false" customHeight="false" outlineLevel="0" collapsed="false">
      <c r="A21" s="27" t="str">
        <f aca="false">IFERROR(IF(INDEX(Overzicht!$C$5:$C$44,17)="","",IF(INDEX(Overzicht!$C$5:$C$44,17)="Energiehub",INDEX(Overzicht!$A$5:$A$44,17),"")),"")</f>
        <v/>
      </c>
      <c r="B21" s="27" t="str">
        <f aca="false">IF($A21="","",INDEX(Overzicht!$B$5:$B$44,17))</f>
        <v/>
      </c>
      <c r="C21" s="33" t="str">
        <f aca="false">IF($A21="","",IFERROR(_xlfn.SWITCH(INDEX(Voortgang!$G$5:$G$504,MATCH($A21&amp;"|"&amp;TEXT(1,"00"),Voortgang!$M$5:$M$504,0)),"Gereed","G","Loopt","L","Geblokkeerd","B","Niet van toepassing","nvt","Niet gestart","-","-"),""))</f>
        <v/>
      </c>
      <c r="D21" s="33" t="str">
        <f aca="false">IF($A21="","",IFERROR(_xlfn.SWITCH(INDEX(Voortgang!$G$5:$G$504,MATCH($A21&amp;"|"&amp;TEXT(2,"00"),Voortgang!$M$5:$M$504,0)),"Gereed","G","Loopt","L","Geblokkeerd","B","Niet van toepassing","nvt","Niet gestart","-","-"),""))</f>
        <v/>
      </c>
      <c r="E21" s="33" t="str">
        <f aca="false">IF($A21="","",IFERROR(_xlfn.SWITCH(INDEX(Voortgang!$G$5:$G$504,MATCH($A21&amp;"|"&amp;TEXT(3,"00"),Voortgang!$M$5:$M$504,0)),"Gereed","G","Loopt","L","Geblokkeerd","B","Niet van toepassing","nvt","Niet gestart","-","-"),""))</f>
        <v/>
      </c>
      <c r="F21" s="33" t="str">
        <f aca="false">IF($A21="","",IFERROR(_xlfn.SWITCH(INDEX(Voortgang!$G$5:$G$504,MATCH($A21&amp;"|"&amp;TEXT(4,"00"),Voortgang!$M$5:$M$504,0)),"Gereed","G","Loopt","L","Geblokkeerd","B","Niet van toepassing","nvt","Niet gestart","-","-"),""))</f>
        <v/>
      </c>
      <c r="G21" s="33" t="str">
        <f aca="false">IF($A21="","",IFERROR(_xlfn.SWITCH(INDEX(Voortgang!$G$5:$G$504,MATCH($A21&amp;"|"&amp;TEXT(5,"00"),Voortgang!$M$5:$M$504,0)),"Gereed","G","Loopt","L","Geblokkeerd","B","Niet van toepassing","nvt","Niet gestart","-","-"),""))</f>
        <v/>
      </c>
      <c r="H21" s="33" t="str">
        <f aca="false">IF($A21="","",IFERROR(_xlfn.SWITCH(INDEX(Voortgang!$G$5:$G$504,MATCH($A21&amp;"|"&amp;TEXT(6,"00"),Voortgang!$M$5:$M$504,0)),"Gereed","G","Loopt","L","Geblokkeerd","B","Niet van toepassing","nvt","Niet gestart","-","-"),""))</f>
        <v/>
      </c>
      <c r="I21" s="33" t="str">
        <f aca="false">IF($A21="","",IFERROR(_xlfn.SWITCH(INDEX(Voortgang!$G$5:$G$504,MATCH($A21&amp;"|"&amp;TEXT(7,"00"),Voortgang!$M$5:$M$504,0)),"Gereed","G","Loopt","L","Geblokkeerd","B","Niet van toepassing","nvt","Niet gestart","-","-"),""))</f>
        <v/>
      </c>
      <c r="J21" s="33" t="str">
        <f aca="false">IF($A21="","",IFERROR(_xlfn.SWITCH(INDEX(Voortgang!$G$5:$G$504,MATCH($A21&amp;"|"&amp;TEXT(8,"00"),Voortgang!$M$5:$M$504,0)),"Gereed","G","Loopt","L","Geblokkeerd","B","Niet van toepassing","nvt","Niet gestart","-","-"),""))</f>
        <v/>
      </c>
      <c r="K21" s="33" t="str">
        <f aca="false">IF($A21="","",IFERROR(_xlfn.SWITCH(INDEX(Voortgang!$G$5:$G$504,MATCH($A21&amp;"|"&amp;TEXT(9,"00"),Voortgang!$M$5:$M$504,0)),"Gereed","G","Loopt","L","Geblokkeerd","B","Niet van toepassing","nvt","Niet gestart","-","-"),""))</f>
        <v/>
      </c>
      <c r="L21" s="33" t="str">
        <f aca="false">IF($A21="","",IFERROR(_xlfn.SWITCH(INDEX(Voortgang!$G$5:$G$504,MATCH($A21&amp;"|"&amp;TEXT(10,"00"),Voortgang!$M$5:$M$504,0)),"Gereed","G","Loopt","L","Geblokkeerd","B","Niet van toepassing","nvt","Niet gestart","-","-"),""))</f>
        <v/>
      </c>
      <c r="M21" s="33" t="str">
        <f aca="false">IF($A21="","",IFERROR(_xlfn.SWITCH(INDEX(Voortgang!$G$5:$G$504,MATCH($A21&amp;"|"&amp;TEXT(11,"00"),Voortgang!$M$5:$M$504,0)),"Gereed","G","Loopt","L","Geblokkeerd","B","Niet van toepassing","nvt","Niet gestart","-","-"),""))</f>
        <v/>
      </c>
      <c r="N21" s="33" t="str">
        <f aca="false">IF($A21="","",IFERROR(_xlfn.SWITCH(INDEX(Voortgang!$G$5:$G$504,MATCH($A21&amp;"|"&amp;TEXT(12,"00"),Voortgang!$M$5:$M$504,0)),"Gereed","G","Loopt","L","Geblokkeerd","B","Niet van toepassing","nvt","Niet gestart","-","-"),""))</f>
        <v/>
      </c>
      <c r="O21" s="33" t="str">
        <f aca="false">IF($A21="","",IFERROR(_xlfn.SWITCH(INDEX(Voortgang!$G$5:$G$504,MATCH($A21&amp;"|"&amp;TEXT(13,"00"),Voortgang!$M$5:$M$504,0)),"Gereed","G","Loopt","L","Geblokkeerd","B","Niet van toepassing","nvt","Niet gestart","-","-"),""))</f>
        <v/>
      </c>
      <c r="P21" s="33" t="str">
        <f aca="false">IF($A21="","",IFERROR(_xlfn.SWITCH(INDEX(Voortgang!$G$5:$G$504,MATCH($A21&amp;"|"&amp;TEXT(14,"00"),Voortgang!$M$5:$M$504,0)),"Gereed","G","Loopt","L","Geblokkeerd","B","Niet van toepassing","nvt","Niet gestart","-","-"),""))</f>
        <v/>
      </c>
      <c r="Q21" s="33" t="str">
        <f aca="false">IF($A21="","",IFERROR(_xlfn.SWITCH(INDEX(Voortgang!$G$5:$G$504,MATCH($A21&amp;"|"&amp;TEXT(15,"00"),Voortgang!$M$5:$M$504,0)),"Gereed","G","Loopt","L","Geblokkeerd","B","Niet van toepassing","nvt","Niet gestart","-","-"),""))</f>
        <v/>
      </c>
      <c r="R21" s="33" t="str">
        <f aca="false">IF($A21="","",IFERROR(_xlfn.SWITCH(INDEX(Voortgang!$G$5:$G$504,MATCH($A21&amp;"|"&amp;TEXT(16,"00"),Voortgang!$M$5:$M$504,0)),"Gereed","G","Loopt","L","Geblokkeerd","B","Niet van toepassing","nvt","Niet gestart","-","-"),""))</f>
        <v/>
      </c>
      <c r="S21" s="33" t="str">
        <f aca="false">IF($A21="","",IFERROR(_xlfn.SWITCH(INDEX(Voortgang!$G$5:$G$504,MATCH($A21&amp;"|"&amp;TEXT(17,"00"),Voortgang!$M$5:$M$504,0)),"Gereed","G","Loopt","L","Geblokkeerd","B","Niet van toepassing","nvt","Niet gestart","-","-"),""))</f>
        <v/>
      </c>
      <c r="T21" s="33" t="str">
        <f aca="false">IF($A21="","",IFERROR(_xlfn.SWITCH(INDEX(Voortgang!$G$5:$G$504,MATCH($A21&amp;"|"&amp;TEXT(18,"00"),Voortgang!$M$5:$M$504,0)),"Gereed","G","Loopt","L","Geblokkeerd","B","Niet van toepassing","nvt","Niet gestart","-","-"),""))</f>
        <v/>
      </c>
      <c r="U21" s="33" t="str">
        <f aca="false">IF($A21="","",IFERROR(_xlfn.SWITCH(INDEX(Voortgang!$G$5:$G$504,MATCH($A21&amp;"|"&amp;TEXT(19,"00"),Voortgang!$M$5:$M$504,0)),"Gereed","G","Loopt","L","Geblokkeerd","B","Niet van toepassing","nvt","Niet gestart","-","-"),""))</f>
        <v/>
      </c>
    </row>
    <row r="22" customFormat="false" ht="15" hidden="false" customHeight="false" outlineLevel="0" collapsed="false">
      <c r="A22" s="27" t="str">
        <f aca="false">IFERROR(IF(INDEX(Overzicht!$C$5:$C$44,18)="","",IF(INDEX(Overzicht!$C$5:$C$44,18)="Energiehub",INDEX(Overzicht!$A$5:$A$44,18),"")),"")</f>
        <v/>
      </c>
      <c r="B22" s="27" t="str">
        <f aca="false">IF($A22="","",INDEX(Overzicht!$B$5:$B$44,18))</f>
        <v/>
      </c>
      <c r="C22" s="33" t="str">
        <f aca="false">IF($A22="","",IFERROR(_xlfn.SWITCH(INDEX(Voortgang!$G$5:$G$504,MATCH($A22&amp;"|"&amp;TEXT(1,"00"),Voortgang!$M$5:$M$504,0)),"Gereed","G","Loopt","L","Geblokkeerd","B","Niet van toepassing","nvt","Niet gestart","-","-"),""))</f>
        <v/>
      </c>
      <c r="D22" s="33" t="str">
        <f aca="false">IF($A22="","",IFERROR(_xlfn.SWITCH(INDEX(Voortgang!$G$5:$G$504,MATCH($A22&amp;"|"&amp;TEXT(2,"00"),Voortgang!$M$5:$M$504,0)),"Gereed","G","Loopt","L","Geblokkeerd","B","Niet van toepassing","nvt","Niet gestart","-","-"),""))</f>
        <v/>
      </c>
      <c r="E22" s="33" t="str">
        <f aca="false">IF($A22="","",IFERROR(_xlfn.SWITCH(INDEX(Voortgang!$G$5:$G$504,MATCH($A22&amp;"|"&amp;TEXT(3,"00"),Voortgang!$M$5:$M$504,0)),"Gereed","G","Loopt","L","Geblokkeerd","B","Niet van toepassing","nvt","Niet gestart","-","-"),""))</f>
        <v/>
      </c>
      <c r="F22" s="33" t="str">
        <f aca="false">IF($A22="","",IFERROR(_xlfn.SWITCH(INDEX(Voortgang!$G$5:$G$504,MATCH($A22&amp;"|"&amp;TEXT(4,"00"),Voortgang!$M$5:$M$504,0)),"Gereed","G","Loopt","L","Geblokkeerd","B","Niet van toepassing","nvt","Niet gestart","-","-"),""))</f>
        <v/>
      </c>
      <c r="G22" s="33" t="str">
        <f aca="false">IF($A22="","",IFERROR(_xlfn.SWITCH(INDEX(Voortgang!$G$5:$G$504,MATCH($A22&amp;"|"&amp;TEXT(5,"00"),Voortgang!$M$5:$M$504,0)),"Gereed","G","Loopt","L","Geblokkeerd","B","Niet van toepassing","nvt","Niet gestart","-","-"),""))</f>
        <v/>
      </c>
      <c r="H22" s="33" t="str">
        <f aca="false">IF($A22="","",IFERROR(_xlfn.SWITCH(INDEX(Voortgang!$G$5:$G$504,MATCH($A22&amp;"|"&amp;TEXT(6,"00"),Voortgang!$M$5:$M$504,0)),"Gereed","G","Loopt","L","Geblokkeerd","B","Niet van toepassing","nvt","Niet gestart","-","-"),""))</f>
        <v/>
      </c>
      <c r="I22" s="33" t="str">
        <f aca="false">IF($A22="","",IFERROR(_xlfn.SWITCH(INDEX(Voortgang!$G$5:$G$504,MATCH($A22&amp;"|"&amp;TEXT(7,"00"),Voortgang!$M$5:$M$504,0)),"Gereed","G","Loopt","L","Geblokkeerd","B","Niet van toepassing","nvt","Niet gestart","-","-"),""))</f>
        <v/>
      </c>
      <c r="J22" s="33" t="str">
        <f aca="false">IF($A22="","",IFERROR(_xlfn.SWITCH(INDEX(Voortgang!$G$5:$G$504,MATCH($A22&amp;"|"&amp;TEXT(8,"00"),Voortgang!$M$5:$M$504,0)),"Gereed","G","Loopt","L","Geblokkeerd","B","Niet van toepassing","nvt","Niet gestart","-","-"),""))</f>
        <v/>
      </c>
      <c r="K22" s="33" t="str">
        <f aca="false">IF($A22="","",IFERROR(_xlfn.SWITCH(INDEX(Voortgang!$G$5:$G$504,MATCH($A22&amp;"|"&amp;TEXT(9,"00"),Voortgang!$M$5:$M$504,0)),"Gereed","G","Loopt","L","Geblokkeerd","B","Niet van toepassing","nvt","Niet gestart","-","-"),""))</f>
        <v/>
      </c>
      <c r="L22" s="33" t="str">
        <f aca="false">IF($A22="","",IFERROR(_xlfn.SWITCH(INDEX(Voortgang!$G$5:$G$504,MATCH($A22&amp;"|"&amp;TEXT(10,"00"),Voortgang!$M$5:$M$504,0)),"Gereed","G","Loopt","L","Geblokkeerd","B","Niet van toepassing","nvt","Niet gestart","-","-"),""))</f>
        <v/>
      </c>
      <c r="M22" s="33" t="str">
        <f aca="false">IF($A22="","",IFERROR(_xlfn.SWITCH(INDEX(Voortgang!$G$5:$G$504,MATCH($A22&amp;"|"&amp;TEXT(11,"00"),Voortgang!$M$5:$M$504,0)),"Gereed","G","Loopt","L","Geblokkeerd","B","Niet van toepassing","nvt","Niet gestart","-","-"),""))</f>
        <v/>
      </c>
      <c r="N22" s="33" t="str">
        <f aca="false">IF($A22="","",IFERROR(_xlfn.SWITCH(INDEX(Voortgang!$G$5:$G$504,MATCH($A22&amp;"|"&amp;TEXT(12,"00"),Voortgang!$M$5:$M$504,0)),"Gereed","G","Loopt","L","Geblokkeerd","B","Niet van toepassing","nvt","Niet gestart","-","-"),""))</f>
        <v/>
      </c>
      <c r="O22" s="33" t="str">
        <f aca="false">IF($A22="","",IFERROR(_xlfn.SWITCH(INDEX(Voortgang!$G$5:$G$504,MATCH($A22&amp;"|"&amp;TEXT(13,"00"),Voortgang!$M$5:$M$504,0)),"Gereed","G","Loopt","L","Geblokkeerd","B","Niet van toepassing","nvt","Niet gestart","-","-"),""))</f>
        <v/>
      </c>
      <c r="P22" s="33" t="str">
        <f aca="false">IF($A22="","",IFERROR(_xlfn.SWITCH(INDEX(Voortgang!$G$5:$G$504,MATCH($A22&amp;"|"&amp;TEXT(14,"00"),Voortgang!$M$5:$M$504,0)),"Gereed","G","Loopt","L","Geblokkeerd","B","Niet van toepassing","nvt","Niet gestart","-","-"),""))</f>
        <v/>
      </c>
      <c r="Q22" s="33" t="str">
        <f aca="false">IF($A22="","",IFERROR(_xlfn.SWITCH(INDEX(Voortgang!$G$5:$G$504,MATCH($A22&amp;"|"&amp;TEXT(15,"00"),Voortgang!$M$5:$M$504,0)),"Gereed","G","Loopt","L","Geblokkeerd","B","Niet van toepassing","nvt","Niet gestart","-","-"),""))</f>
        <v/>
      </c>
      <c r="R22" s="33" t="str">
        <f aca="false">IF($A22="","",IFERROR(_xlfn.SWITCH(INDEX(Voortgang!$G$5:$G$504,MATCH($A22&amp;"|"&amp;TEXT(16,"00"),Voortgang!$M$5:$M$504,0)),"Gereed","G","Loopt","L","Geblokkeerd","B","Niet van toepassing","nvt","Niet gestart","-","-"),""))</f>
        <v/>
      </c>
      <c r="S22" s="33" t="str">
        <f aca="false">IF($A22="","",IFERROR(_xlfn.SWITCH(INDEX(Voortgang!$G$5:$G$504,MATCH($A22&amp;"|"&amp;TEXT(17,"00"),Voortgang!$M$5:$M$504,0)),"Gereed","G","Loopt","L","Geblokkeerd","B","Niet van toepassing","nvt","Niet gestart","-","-"),""))</f>
        <v/>
      </c>
      <c r="T22" s="33" t="str">
        <f aca="false">IF($A22="","",IFERROR(_xlfn.SWITCH(INDEX(Voortgang!$G$5:$G$504,MATCH($A22&amp;"|"&amp;TEXT(18,"00"),Voortgang!$M$5:$M$504,0)),"Gereed","G","Loopt","L","Geblokkeerd","B","Niet van toepassing","nvt","Niet gestart","-","-"),""))</f>
        <v/>
      </c>
      <c r="U22" s="33" t="str">
        <f aca="false">IF($A22="","",IFERROR(_xlfn.SWITCH(INDEX(Voortgang!$G$5:$G$504,MATCH($A22&amp;"|"&amp;TEXT(19,"00"),Voortgang!$M$5:$M$504,0)),"Gereed","G","Loopt","L","Geblokkeerd","B","Niet van toepassing","nvt","Niet gestart","-","-"),""))</f>
        <v/>
      </c>
    </row>
    <row r="23" customFormat="false" ht="15" hidden="false" customHeight="false" outlineLevel="0" collapsed="false">
      <c r="A23" s="27" t="str">
        <f aca="false">IFERROR(IF(INDEX(Overzicht!$C$5:$C$44,19)="","",IF(INDEX(Overzicht!$C$5:$C$44,19)="Energiehub",INDEX(Overzicht!$A$5:$A$44,19),"")),"")</f>
        <v/>
      </c>
      <c r="B23" s="27" t="str">
        <f aca="false">IF($A23="","",INDEX(Overzicht!$B$5:$B$44,19))</f>
        <v/>
      </c>
      <c r="C23" s="33" t="str">
        <f aca="false">IF($A23="","",IFERROR(_xlfn.SWITCH(INDEX(Voortgang!$G$5:$G$504,MATCH($A23&amp;"|"&amp;TEXT(1,"00"),Voortgang!$M$5:$M$504,0)),"Gereed","G","Loopt","L","Geblokkeerd","B","Niet van toepassing","nvt","Niet gestart","-","-"),""))</f>
        <v/>
      </c>
      <c r="D23" s="33" t="str">
        <f aca="false">IF($A23="","",IFERROR(_xlfn.SWITCH(INDEX(Voortgang!$G$5:$G$504,MATCH($A23&amp;"|"&amp;TEXT(2,"00"),Voortgang!$M$5:$M$504,0)),"Gereed","G","Loopt","L","Geblokkeerd","B","Niet van toepassing","nvt","Niet gestart","-","-"),""))</f>
        <v/>
      </c>
      <c r="E23" s="33" t="str">
        <f aca="false">IF($A23="","",IFERROR(_xlfn.SWITCH(INDEX(Voortgang!$G$5:$G$504,MATCH($A23&amp;"|"&amp;TEXT(3,"00"),Voortgang!$M$5:$M$504,0)),"Gereed","G","Loopt","L","Geblokkeerd","B","Niet van toepassing","nvt","Niet gestart","-","-"),""))</f>
        <v/>
      </c>
      <c r="F23" s="33" t="str">
        <f aca="false">IF($A23="","",IFERROR(_xlfn.SWITCH(INDEX(Voortgang!$G$5:$G$504,MATCH($A23&amp;"|"&amp;TEXT(4,"00"),Voortgang!$M$5:$M$504,0)),"Gereed","G","Loopt","L","Geblokkeerd","B","Niet van toepassing","nvt","Niet gestart","-","-"),""))</f>
        <v/>
      </c>
      <c r="G23" s="33" t="str">
        <f aca="false">IF($A23="","",IFERROR(_xlfn.SWITCH(INDEX(Voortgang!$G$5:$G$504,MATCH($A23&amp;"|"&amp;TEXT(5,"00"),Voortgang!$M$5:$M$504,0)),"Gereed","G","Loopt","L","Geblokkeerd","B","Niet van toepassing","nvt","Niet gestart","-","-"),""))</f>
        <v/>
      </c>
      <c r="H23" s="33" t="str">
        <f aca="false">IF($A23="","",IFERROR(_xlfn.SWITCH(INDEX(Voortgang!$G$5:$G$504,MATCH($A23&amp;"|"&amp;TEXT(6,"00"),Voortgang!$M$5:$M$504,0)),"Gereed","G","Loopt","L","Geblokkeerd","B","Niet van toepassing","nvt","Niet gestart","-","-"),""))</f>
        <v/>
      </c>
      <c r="I23" s="33" t="str">
        <f aca="false">IF($A23="","",IFERROR(_xlfn.SWITCH(INDEX(Voortgang!$G$5:$G$504,MATCH($A23&amp;"|"&amp;TEXT(7,"00"),Voortgang!$M$5:$M$504,0)),"Gereed","G","Loopt","L","Geblokkeerd","B","Niet van toepassing","nvt","Niet gestart","-","-"),""))</f>
        <v/>
      </c>
      <c r="J23" s="33" t="str">
        <f aca="false">IF($A23="","",IFERROR(_xlfn.SWITCH(INDEX(Voortgang!$G$5:$G$504,MATCH($A23&amp;"|"&amp;TEXT(8,"00"),Voortgang!$M$5:$M$504,0)),"Gereed","G","Loopt","L","Geblokkeerd","B","Niet van toepassing","nvt","Niet gestart","-","-"),""))</f>
        <v/>
      </c>
      <c r="K23" s="33" t="str">
        <f aca="false">IF($A23="","",IFERROR(_xlfn.SWITCH(INDEX(Voortgang!$G$5:$G$504,MATCH($A23&amp;"|"&amp;TEXT(9,"00"),Voortgang!$M$5:$M$504,0)),"Gereed","G","Loopt","L","Geblokkeerd","B","Niet van toepassing","nvt","Niet gestart","-","-"),""))</f>
        <v/>
      </c>
      <c r="L23" s="33" t="str">
        <f aca="false">IF($A23="","",IFERROR(_xlfn.SWITCH(INDEX(Voortgang!$G$5:$G$504,MATCH($A23&amp;"|"&amp;TEXT(10,"00"),Voortgang!$M$5:$M$504,0)),"Gereed","G","Loopt","L","Geblokkeerd","B","Niet van toepassing","nvt","Niet gestart","-","-"),""))</f>
        <v/>
      </c>
      <c r="M23" s="33" t="str">
        <f aca="false">IF($A23="","",IFERROR(_xlfn.SWITCH(INDEX(Voortgang!$G$5:$G$504,MATCH($A23&amp;"|"&amp;TEXT(11,"00"),Voortgang!$M$5:$M$504,0)),"Gereed","G","Loopt","L","Geblokkeerd","B","Niet van toepassing","nvt","Niet gestart","-","-"),""))</f>
        <v/>
      </c>
      <c r="N23" s="33" t="str">
        <f aca="false">IF($A23="","",IFERROR(_xlfn.SWITCH(INDEX(Voortgang!$G$5:$G$504,MATCH($A23&amp;"|"&amp;TEXT(12,"00"),Voortgang!$M$5:$M$504,0)),"Gereed","G","Loopt","L","Geblokkeerd","B","Niet van toepassing","nvt","Niet gestart","-","-"),""))</f>
        <v/>
      </c>
      <c r="O23" s="33" t="str">
        <f aca="false">IF($A23="","",IFERROR(_xlfn.SWITCH(INDEX(Voortgang!$G$5:$G$504,MATCH($A23&amp;"|"&amp;TEXT(13,"00"),Voortgang!$M$5:$M$504,0)),"Gereed","G","Loopt","L","Geblokkeerd","B","Niet van toepassing","nvt","Niet gestart","-","-"),""))</f>
        <v/>
      </c>
      <c r="P23" s="33" t="str">
        <f aca="false">IF($A23="","",IFERROR(_xlfn.SWITCH(INDEX(Voortgang!$G$5:$G$504,MATCH($A23&amp;"|"&amp;TEXT(14,"00"),Voortgang!$M$5:$M$504,0)),"Gereed","G","Loopt","L","Geblokkeerd","B","Niet van toepassing","nvt","Niet gestart","-","-"),""))</f>
        <v/>
      </c>
      <c r="Q23" s="33" t="str">
        <f aca="false">IF($A23="","",IFERROR(_xlfn.SWITCH(INDEX(Voortgang!$G$5:$G$504,MATCH($A23&amp;"|"&amp;TEXT(15,"00"),Voortgang!$M$5:$M$504,0)),"Gereed","G","Loopt","L","Geblokkeerd","B","Niet van toepassing","nvt","Niet gestart","-","-"),""))</f>
        <v/>
      </c>
      <c r="R23" s="33" t="str">
        <f aca="false">IF($A23="","",IFERROR(_xlfn.SWITCH(INDEX(Voortgang!$G$5:$G$504,MATCH($A23&amp;"|"&amp;TEXT(16,"00"),Voortgang!$M$5:$M$504,0)),"Gereed","G","Loopt","L","Geblokkeerd","B","Niet van toepassing","nvt","Niet gestart","-","-"),""))</f>
        <v/>
      </c>
      <c r="S23" s="33" t="str">
        <f aca="false">IF($A23="","",IFERROR(_xlfn.SWITCH(INDEX(Voortgang!$G$5:$G$504,MATCH($A23&amp;"|"&amp;TEXT(17,"00"),Voortgang!$M$5:$M$504,0)),"Gereed","G","Loopt","L","Geblokkeerd","B","Niet van toepassing","nvt","Niet gestart","-","-"),""))</f>
        <v/>
      </c>
      <c r="T23" s="33" t="str">
        <f aca="false">IF($A23="","",IFERROR(_xlfn.SWITCH(INDEX(Voortgang!$G$5:$G$504,MATCH($A23&amp;"|"&amp;TEXT(18,"00"),Voortgang!$M$5:$M$504,0)),"Gereed","G","Loopt","L","Geblokkeerd","B","Niet van toepassing","nvt","Niet gestart","-","-"),""))</f>
        <v/>
      </c>
      <c r="U23" s="33" t="str">
        <f aca="false">IF($A23="","",IFERROR(_xlfn.SWITCH(INDEX(Voortgang!$G$5:$G$504,MATCH($A23&amp;"|"&amp;TEXT(19,"00"),Voortgang!$M$5:$M$504,0)),"Gereed","G","Loopt","L","Geblokkeerd","B","Niet van toepassing","nvt","Niet gestart","-","-"),""))</f>
        <v/>
      </c>
    </row>
    <row r="24" customFormat="false" ht="15" hidden="false" customHeight="false" outlineLevel="0" collapsed="false">
      <c r="A24" s="27" t="str">
        <f aca="false">IFERROR(IF(INDEX(Overzicht!$C$5:$C$44,20)="","",IF(INDEX(Overzicht!$C$5:$C$44,20)="Energiehub",INDEX(Overzicht!$A$5:$A$44,20),"")),"")</f>
        <v/>
      </c>
      <c r="B24" s="27" t="str">
        <f aca="false">IF($A24="","",INDEX(Overzicht!$B$5:$B$44,20))</f>
        <v/>
      </c>
      <c r="C24" s="33" t="str">
        <f aca="false">IF($A24="","",IFERROR(_xlfn.SWITCH(INDEX(Voortgang!$G$5:$G$504,MATCH($A24&amp;"|"&amp;TEXT(1,"00"),Voortgang!$M$5:$M$504,0)),"Gereed","G","Loopt","L","Geblokkeerd","B","Niet van toepassing","nvt","Niet gestart","-","-"),""))</f>
        <v/>
      </c>
      <c r="D24" s="33" t="str">
        <f aca="false">IF($A24="","",IFERROR(_xlfn.SWITCH(INDEX(Voortgang!$G$5:$G$504,MATCH($A24&amp;"|"&amp;TEXT(2,"00"),Voortgang!$M$5:$M$504,0)),"Gereed","G","Loopt","L","Geblokkeerd","B","Niet van toepassing","nvt","Niet gestart","-","-"),""))</f>
        <v/>
      </c>
      <c r="E24" s="33" t="str">
        <f aca="false">IF($A24="","",IFERROR(_xlfn.SWITCH(INDEX(Voortgang!$G$5:$G$504,MATCH($A24&amp;"|"&amp;TEXT(3,"00"),Voortgang!$M$5:$M$504,0)),"Gereed","G","Loopt","L","Geblokkeerd","B","Niet van toepassing","nvt","Niet gestart","-","-"),""))</f>
        <v/>
      </c>
      <c r="F24" s="33" t="str">
        <f aca="false">IF($A24="","",IFERROR(_xlfn.SWITCH(INDEX(Voortgang!$G$5:$G$504,MATCH($A24&amp;"|"&amp;TEXT(4,"00"),Voortgang!$M$5:$M$504,0)),"Gereed","G","Loopt","L","Geblokkeerd","B","Niet van toepassing","nvt","Niet gestart","-","-"),""))</f>
        <v/>
      </c>
      <c r="G24" s="33" t="str">
        <f aca="false">IF($A24="","",IFERROR(_xlfn.SWITCH(INDEX(Voortgang!$G$5:$G$504,MATCH($A24&amp;"|"&amp;TEXT(5,"00"),Voortgang!$M$5:$M$504,0)),"Gereed","G","Loopt","L","Geblokkeerd","B","Niet van toepassing","nvt","Niet gestart","-","-"),""))</f>
        <v/>
      </c>
      <c r="H24" s="33" t="str">
        <f aca="false">IF($A24="","",IFERROR(_xlfn.SWITCH(INDEX(Voortgang!$G$5:$G$504,MATCH($A24&amp;"|"&amp;TEXT(6,"00"),Voortgang!$M$5:$M$504,0)),"Gereed","G","Loopt","L","Geblokkeerd","B","Niet van toepassing","nvt","Niet gestart","-","-"),""))</f>
        <v/>
      </c>
      <c r="I24" s="33" t="str">
        <f aca="false">IF($A24="","",IFERROR(_xlfn.SWITCH(INDEX(Voortgang!$G$5:$G$504,MATCH($A24&amp;"|"&amp;TEXT(7,"00"),Voortgang!$M$5:$M$504,0)),"Gereed","G","Loopt","L","Geblokkeerd","B","Niet van toepassing","nvt","Niet gestart","-","-"),""))</f>
        <v/>
      </c>
      <c r="J24" s="33" t="str">
        <f aca="false">IF($A24="","",IFERROR(_xlfn.SWITCH(INDEX(Voortgang!$G$5:$G$504,MATCH($A24&amp;"|"&amp;TEXT(8,"00"),Voortgang!$M$5:$M$504,0)),"Gereed","G","Loopt","L","Geblokkeerd","B","Niet van toepassing","nvt","Niet gestart","-","-"),""))</f>
        <v/>
      </c>
      <c r="K24" s="33" t="str">
        <f aca="false">IF($A24="","",IFERROR(_xlfn.SWITCH(INDEX(Voortgang!$G$5:$G$504,MATCH($A24&amp;"|"&amp;TEXT(9,"00"),Voortgang!$M$5:$M$504,0)),"Gereed","G","Loopt","L","Geblokkeerd","B","Niet van toepassing","nvt","Niet gestart","-","-"),""))</f>
        <v/>
      </c>
      <c r="L24" s="33" t="str">
        <f aca="false">IF($A24="","",IFERROR(_xlfn.SWITCH(INDEX(Voortgang!$G$5:$G$504,MATCH($A24&amp;"|"&amp;TEXT(10,"00"),Voortgang!$M$5:$M$504,0)),"Gereed","G","Loopt","L","Geblokkeerd","B","Niet van toepassing","nvt","Niet gestart","-","-"),""))</f>
        <v/>
      </c>
      <c r="M24" s="33" t="str">
        <f aca="false">IF($A24="","",IFERROR(_xlfn.SWITCH(INDEX(Voortgang!$G$5:$G$504,MATCH($A24&amp;"|"&amp;TEXT(11,"00"),Voortgang!$M$5:$M$504,0)),"Gereed","G","Loopt","L","Geblokkeerd","B","Niet van toepassing","nvt","Niet gestart","-","-"),""))</f>
        <v/>
      </c>
      <c r="N24" s="33" t="str">
        <f aca="false">IF($A24="","",IFERROR(_xlfn.SWITCH(INDEX(Voortgang!$G$5:$G$504,MATCH($A24&amp;"|"&amp;TEXT(12,"00"),Voortgang!$M$5:$M$504,0)),"Gereed","G","Loopt","L","Geblokkeerd","B","Niet van toepassing","nvt","Niet gestart","-","-"),""))</f>
        <v/>
      </c>
      <c r="O24" s="33" t="str">
        <f aca="false">IF($A24="","",IFERROR(_xlfn.SWITCH(INDEX(Voortgang!$G$5:$G$504,MATCH($A24&amp;"|"&amp;TEXT(13,"00"),Voortgang!$M$5:$M$504,0)),"Gereed","G","Loopt","L","Geblokkeerd","B","Niet van toepassing","nvt","Niet gestart","-","-"),""))</f>
        <v/>
      </c>
      <c r="P24" s="33" t="str">
        <f aca="false">IF($A24="","",IFERROR(_xlfn.SWITCH(INDEX(Voortgang!$G$5:$G$504,MATCH($A24&amp;"|"&amp;TEXT(14,"00"),Voortgang!$M$5:$M$504,0)),"Gereed","G","Loopt","L","Geblokkeerd","B","Niet van toepassing","nvt","Niet gestart","-","-"),""))</f>
        <v/>
      </c>
      <c r="Q24" s="33" t="str">
        <f aca="false">IF($A24="","",IFERROR(_xlfn.SWITCH(INDEX(Voortgang!$G$5:$G$504,MATCH($A24&amp;"|"&amp;TEXT(15,"00"),Voortgang!$M$5:$M$504,0)),"Gereed","G","Loopt","L","Geblokkeerd","B","Niet van toepassing","nvt","Niet gestart","-","-"),""))</f>
        <v/>
      </c>
      <c r="R24" s="33" t="str">
        <f aca="false">IF($A24="","",IFERROR(_xlfn.SWITCH(INDEX(Voortgang!$G$5:$G$504,MATCH($A24&amp;"|"&amp;TEXT(16,"00"),Voortgang!$M$5:$M$504,0)),"Gereed","G","Loopt","L","Geblokkeerd","B","Niet van toepassing","nvt","Niet gestart","-","-"),""))</f>
        <v/>
      </c>
      <c r="S24" s="33" t="str">
        <f aca="false">IF($A24="","",IFERROR(_xlfn.SWITCH(INDEX(Voortgang!$G$5:$G$504,MATCH($A24&amp;"|"&amp;TEXT(17,"00"),Voortgang!$M$5:$M$504,0)),"Gereed","G","Loopt","L","Geblokkeerd","B","Niet van toepassing","nvt","Niet gestart","-","-"),""))</f>
        <v/>
      </c>
      <c r="T24" s="33" t="str">
        <f aca="false">IF($A24="","",IFERROR(_xlfn.SWITCH(INDEX(Voortgang!$G$5:$G$504,MATCH($A24&amp;"|"&amp;TEXT(18,"00"),Voortgang!$M$5:$M$504,0)),"Gereed","G","Loopt","L","Geblokkeerd","B","Niet van toepassing","nvt","Niet gestart","-","-"),""))</f>
        <v/>
      </c>
      <c r="U24" s="33" t="str">
        <f aca="false">IF($A24="","",IFERROR(_xlfn.SWITCH(INDEX(Voortgang!$G$5:$G$504,MATCH($A24&amp;"|"&amp;TEXT(19,"00"),Voortgang!$M$5:$M$504,0)),"Gereed","G","Loopt","L","Geblokkeerd","B","Niet van toepassing","nvt","Niet gestart","-","-"),""))</f>
        <v/>
      </c>
    </row>
    <row r="25" customFormat="false" ht="15" hidden="false" customHeight="false" outlineLevel="0" collapsed="false">
      <c r="A25" s="27" t="str">
        <f aca="false">IFERROR(IF(INDEX(Overzicht!$C$5:$C$44,21)="","",IF(INDEX(Overzicht!$C$5:$C$44,21)="Energiehub",INDEX(Overzicht!$A$5:$A$44,21),"")),"")</f>
        <v/>
      </c>
      <c r="B25" s="27" t="str">
        <f aca="false">IF($A25="","",INDEX(Overzicht!$B$5:$B$44,21))</f>
        <v/>
      </c>
      <c r="C25" s="33" t="str">
        <f aca="false">IF($A25="","",IFERROR(_xlfn.SWITCH(INDEX(Voortgang!$G$5:$G$504,MATCH($A25&amp;"|"&amp;TEXT(1,"00"),Voortgang!$M$5:$M$504,0)),"Gereed","G","Loopt","L","Geblokkeerd","B","Niet van toepassing","nvt","Niet gestart","-","-"),""))</f>
        <v/>
      </c>
      <c r="D25" s="33" t="str">
        <f aca="false">IF($A25="","",IFERROR(_xlfn.SWITCH(INDEX(Voortgang!$G$5:$G$504,MATCH($A25&amp;"|"&amp;TEXT(2,"00"),Voortgang!$M$5:$M$504,0)),"Gereed","G","Loopt","L","Geblokkeerd","B","Niet van toepassing","nvt","Niet gestart","-","-"),""))</f>
        <v/>
      </c>
      <c r="E25" s="33" t="str">
        <f aca="false">IF($A25="","",IFERROR(_xlfn.SWITCH(INDEX(Voortgang!$G$5:$G$504,MATCH($A25&amp;"|"&amp;TEXT(3,"00"),Voortgang!$M$5:$M$504,0)),"Gereed","G","Loopt","L","Geblokkeerd","B","Niet van toepassing","nvt","Niet gestart","-","-"),""))</f>
        <v/>
      </c>
      <c r="F25" s="33" t="str">
        <f aca="false">IF($A25="","",IFERROR(_xlfn.SWITCH(INDEX(Voortgang!$G$5:$G$504,MATCH($A25&amp;"|"&amp;TEXT(4,"00"),Voortgang!$M$5:$M$504,0)),"Gereed","G","Loopt","L","Geblokkeerd","B","Niet van toepassing","nvt","Niet gestart","-","-"),""))</f>
        <v/>
      </c>
      <c r="G25" s="33" t="str">
        <f aca="false">IF($A25="","",IFERROR(_xlfn.SWITCH(INDEX(Voortgang!$G$5:$G$504,MATCH($A25&amp;"|"&amp;TEXT(5,"00"),Voortgang!$M$5:$M$504,0)),"Gereed","G","Loopt","L","Geblokkeerd","B","Niet van toepassing","nvt","Niet gestart","-","-"),""))</f>
        <v/>
      </c>
      <c r="H25" s="33" t="str">
        <f aca="false">IF($A25="","",IFERROR(_xlfn.SWITCH(INDEX(Voortgang!$G$5:$G$504,MATCH($A25&amp;"|"&amp;TEXT(6,"00"),Voortgang!$M$5:$M$504,0)),"Gereed","G","Loopt","L","Geblokkeerd","B","Niet van toepassing","nvt","Niet gestart","-","-"),""))</f>
        <v/>
      </c>
      <c r="I25" s="33" t="str">
        <f aca="false">IF($A25="","",IFERROR(_xlfn.SWITCH(INDEX(Voortgang!$G$5:$G$504,MATCH($A25&amp;"|"&amp;TEXT(7,"00"),Voortgang!$M$5:$M$504,0)),"Gereed","G","Loopt","L","Geblokkeerd","B","Niet van toepassing","nvt","Niet gestart","-","-"),""))</f>
        <v/>
      </c>
      <c r="J25" s="33" t="str">
        <f aca="false">IF($A25="","",IFERROR(_xlfn.SWITCH(INDEX(Voortgang!$G$5:$G$504,MATCH($A25&amp;"|"&amp;TEXT(8,"00"),Voortgang!$M$5:$M$504,0)),"Gereed","G","Loopt","L","Geblokkeerd","B","Niet van toepassing","nvt","Niet gestart","-","-"),""))</f>
        <v/>
      </c>
      <c r="K25" s="33" t="str">
        <f aca="false">IF($A25="","",IFERROR(_xlfn.SWITCH(INDEX(Voortgang!$G$5:$G$504,MATCH($A25&amp;"|"&amp;TEXT(9,"00"),Voortgang!$M$5:$M$504,0)),"Gereed","G","Loopt","L","Geblokkeerd","B","Niet van toepassing","nvt","Niet gestart","-","-"),""))</f>
        <v/>
      </c>
      <c r="L25" s="33" t="str">
        <f aca="false">IF($A25="","",IFERROR(_xlfn.SWITCH(INDEX(Voortgang!$G$5:$G$504,MATCH($A25&amp;"|"&amp;TEXT(10,"00"),Voortgang!$M$5:$M$504,0)),"Gereed","G","Loopt","L","Geblokkeerd","B","Niet van toepassing","nvt","Niet gestart","-","-"),""))</f>
        <v/>
      </c>
      <c r="M25" s="33" t="str">
        <f aca="false">IF($A25="","",IFERROR(_xlfn.SWITCH(INDEX(Voortgang!$G$5:$G$504,MATCH($A25&amp;"|"&amp;TEXT(11,"00"),Voortgang!$M$5:$M$504,0)),"Gereed","G","Loopt","L","Geblokkeerd","B","Niet van toepassing","nvt","Niet gestart","-","-"),""))</f>
        <v/>
      </c>
      <c r="N25" s="33" t="str">
        <f aca="false">IF($A25="","",IFERROR(_xlfn.SWITCH(INDEX(Voortgang!$G$5:$G$504,MATCH($A25&amp;"|"&amp;TEXT(12,"00"),Voortgang!$M$5:$M$504,0)),"Gereed","G","Loopt","L","Geblokkeerd","B","Niet van toepassing","nvt","Niet gestart","-","-"),""))</f>
        <v/>
      </c>
      <c r="O25" s="33" t="str">
        <f aca="false">IF($A25="","",IFERROR(_xlfn.SWITCH(INDEX(Voortgang!$G$5:$G$504,MATCH($A25&amp;"|"&amp;TEXT(13,"00"),Voortgang!$M$5:$M$504,0)),"Gereed","G","Loopt","L","Geblokkeerd","B","Niet van toepassing","nvt","Niet gestart","-","-"),""))</f>
        <v/>
      </c>
      <c r="P25" s="33" t="str">
        <f aca="false">IF($A25="","",IFERROR(_xlfn.SWITCH(INDEX(Voortgang!$G$5:$G$504,MATCH($A25&amp;"|"&amp;TEXT(14,"00"),Voortgang!$M$5:$M$504,0)),"Gereed","G","Loopt","L","Geblokkeerd","B","Niet van toepassing","nvt","Niet gestart","-","-"),""))</f>
        <v/>
      </c>
      <c r="Q25" s="33" t="str">
        <f aca="false">IF($A25="","",IFERROR(_xlfn.SWITCH(INDEX(Voortgang!$G$5:$G$504,MATCH($A25&amp;"|"&amp;TEXT(15,"00"),Voortgang!$M$5:$M$504,0)),"Gereed","G","Loopt","L","Geblokkeerd","B","Niet van toepassing","nvt","Niet gestart","-","-"),""))</f>
        <v/>
      </c>
      <c r="R25" s="33" t="str">
        <f aca="false">IF($A25="","",IFERROR(_xlfn.SWITCH(INDEX(Voortgang!$G$5:$G$504,MATCH($A25&amp;"|"&amp;TEXT(16,"00"),Voortgang!$M$5:$M$504,0)),"Gereed","G","Loopt","L","Geblokkeerd","B","Niet van toepassing","nvt","Niet gestart","-","-"),""))</f>
        <v/>
      </c>
      <c r="S25" s="33" t="str">
        <f aca="false">IF($A25="","",IFERROR(_xlfn.SWITCH(INDEX(Voortgang!$G$5:$G$504,MATCH($A25&amp;"|"&amp;TEXT(17,"00"),Voortgang!$M$5:$M$504,0)),"Gereed","G","Loopt","L","Geblokkeerd","B","Niet van toepassing","nvt","Niet gestart","-","-"),""))</f>
        <v/>
      </c>
      <c r="T25" s="33" t="str">
        <f aca="false">IF($A25="","",IFERROR(_xlfn.SWITCH(INDEX(Voortgang!$G$5:$G$504,MATCH($A25&amp;"|"&amp;TEXT(18,"00"),Voortgang!$M$5:$M$504,0)),"Gereed","G","Loopt","L","Geblokkeerd","B","Niet van toepassing","nvt","Niet gestart","-","-"),""))</f>
        <v/>
      </c>
      <c r="U25" s="33" t="str">
        <f aca="false">IF($A25="","",IFERROR(_xlfn.SWITCH(INDEX(Voortgang!$G$5:$G$504,MATCH($A25&amp;"|"&amp;TEXT(19,"00"),Voortgang!$M$5:$M$504,0)),"Gereed","G","Loopt","L","Geblokkeerd","B","Niet van toepassing","nvt","Niet gestart","-","-"),""))</f>
        <v/>
      </c>
    </row>
    <row r="26" customFormat="false" ht="15" hidden="false" customHeight="false" outlineLevel="0" collapsed="false">
      <c r="A26" s="27" t="str">
        <f aca="false">IFERROR(IF(INDEX(Overzicht!$C$5:$C$44,22)="","",IF(INDEX(Overzicht!$C$5:$C$44,22)="Energiehub",INDEX(Overzicht!$A$5:$A$44,22),"")),"")</f>
        <v/>
      </c>
      <c r="B26" s="27" t="str">
        <f aca="false">IF($A26="","",INDEX(Overzicht!$B$5:$B$44,22))</f>
        <v/>
      </c>
      <c r="C26" s="33" t="str">
        <f aca="false">IF($A26="","",IFERROR(_xlfn.SWITCH(INDEX(Voortgang!$G$5:$G$504,MATCH($A26&amp;"|"&amp;TEXT(1,"00"),Voortgang!$M$5:$M$504,0)),"Gereed","G","Loopt","L","Geblokkeerd","B","Niet van toepassing","nvt","Niet gestart","-","-"),""))</f>
        <v/>
      </c>
      <c r="D26" s="33" t="str">
        <f aca="false">IF($A26="","",IFERROR(_xlfn.SWITCH(INDEX(Voortgang!$G$5:$G$504,MATCH($A26&amp;"|"&amp;TEXT(2,"00"),Voortgang!$M$5:$M$504,0)),"Gereed","G","Loopt","L","Geblokkeerd","B","Niet van toepassing","nvt","Niet gestart","-","-"),""))</f>
        <v/>
      </c>
      <c r="E26" s="33" t="str">
        <f aca="false">IF($A26="","",IFERROR(_xlfn.SWITCH(INDEX(Voortgang!$G$5:$G$504,MATCH($A26&amp;"|"&amp;TEXT(3,"00"),Voortgang!$M$5:$M$504,0)),"Gereed","G","Loopt","L","Geblokkeerd","B","Niet van toepassing","nvt","Niet gestart","-","-"),""))</f>
        <v/>
      </c>
      <c r="F26" s="33" t="str">
        <f aca="false">IF($A26="","",IFERROR(_xlfn.SWITCH(INDEX(Voortgang!$G$5:$G$504,MATCH($A26&amp;"|"&amp;TEXT(4,"00"),Voortgang!$M$5:$M$504,0)),"Gereed","G","Loopt","L","Geblokkeerd","B","Niet van toepassing","nvt","Niet gestart","-","-"),""))</f>
        <v/>
      </c>
      <c r="G26" s="33" t="str">
        <f aca="false">IF($A26="","",IFERROR(_xlfn.SWITCH(INDEX(Voortgang!$G$5:$G$504,MATCH($A26&amp;"|"&amp;TEXT(5,"00"),Voortgang!$M$5:$M$504,0)),"Gereed","G","Loopt","L","Geblokkeerd","B","Niet van toepassing","nvt","Niet gestart","-","-"),""))</f>
        <v/>
      </c>
      <c r="H26" s="33" t="str">
        <f aca="false">IF($A26="","",IFERROR(_xlfn.SWITCH(INDEX(Voortgang!$G$5:$G$504,MATCH($A26&amp;"|"&amp;TEXT(6,"00"),Voortgang!$M$5:$M$504,0)),"Gereed","G","Loopt","L","Geblokkeerd","B","Niet van toepassing","nvt","Niet gestart","-","-"),""))</f>
        <v/>
      </c>
      <c r="I26" s="33" t="str">
        <f aca="false">IF($A26="","",IFERROR(_xlfn.SWITCH(INDEX(Voortgang!$G$5:$G$504,MATCH($A26&amp;"|"&amp;TEXT(7,"00"),Voortgang!$M$5:$M$504,0)),"Gereed","G","Loopt","L","Geblokkeerd","B","Niet van toepassing","nvt","Niet gestart","-","-"),""))</f>
        <v/>
      </c>
      <c r="J26" s="33" t="str">
        <f aca="false">IF($A26="","",IFERROR(_xlfn.SWITCH(INDEX(Voortgang!$G$5:$G$504,MATCH($A26&amp;"|"&amp;TEXT(8,"00"),Voortgang!$M$5:$M$504,0)),"Gereed","G","Loopt","L","Geblokkeerd","B","Niet van toepassing","nvt","Niet gestart","-","-"),""))</f>
        <v/>
      </c>
      <c r="K26" s="33" t="str">
        <f aca="false">IF($A26="","",IFERROR(_xlfn.SWITCH(INDEX(Voortgang!$G$5:$G$504,MATCH($A26&amp;"|"&amp;TEXT(9,"00"),Voortgang!$M$5:$M$504,0)),"Gereed","G","Loopt","L","Geblokkeerd","B","Niet van toepassing","nvt","Niet gestart","-","-"),""))</f>
        <v/>
      </c>
      <c r="L26" s="33" t="str">
        <f aca="false">IF($A26="","",IFERROR(_xlfn.SWITCH(INDEX(Voortgang!$G$5:$G$504,MATCH($A26&amp;"|"&amp;TEXT(10,"00"),Voortgang!$M$5:$M$504,0)),"Gereed","G","Loopt","L","Geblokkeerd","B","Niet van toepassing","nvt","Niet gestart","-","-"),""))</f>
        <v/>
      </c>
      <c r="M26" s="33" t="str">
        <f aca="false">IF($A26="","",IFERROR(_xlfn.SWITCH(INDEX(Voortgang!$G$5:$G$504,MATCH($A26&amp;"|"&amp;TEXT(11,"00"),Voortgang!$M$5:$M$504,0)),"Gereed","G","Loopt","L","Geblokkeerd","B","Niet van toepassing","nvt","Niet gestart","-","-"),""))</f>
        <v/>
      </c>
      <c r="N26" s="33" t="str">
        <f aca="false">IF($A26="","",IFERROR(_xlfn.SWITCH(INDEX(Voortgang!$G$5:$G$504,MATCH($A26&amp;"|"&amp;TEXT(12,"00"),Voortgang!$M$5:$M$504,0)),"Gereed","G","Loopt","L","Geblokkeerd","B","Niet van toepassing","nvt","Niet gestart","-","-"),""))</f>
        <v/>
      </c>
      <c r="O26" s="33" t="str">
        <f aca="false">IF($A26="","",IFERROR(_xlfn.SWITCH(INDEX(Voortgang!$G$5:$G$504,MATCH($A26&amp;"|"&amp;TEXT(13,"00"),Voortgang!$M$5:$M$504,0)),"Gereed","G","Loopt","L","Geblokkeerd","B","Niet van toepassing","nvt","Niet gestart","-","-"),""))</f>
        <v/>
      </c>
      <c r="P26" s="33" t="str">
        <f aca="false">IF($A26="","",IFERROR(_xlfn.SWITCH(INDEX(Voortgang!$G$5:$G$504,MATCH($A26&amp;"|"&amp;TEXT(14,"00"),Voortgang!$M$5:$M$504,0)),"Gereed","G","Loopt","L","Geblokkeerd","B","Niet van toepassing","nvt","Niet gestart","-","-"),""))</f>
        <v/>
      </c>
      <c r="Q26" s="33" t="str">
        <f aca="false">IF($A26="","",IFERROR(_xlfn.SWITCH(INDEX(Voortgang!$G$5:$G$504,MATCH($A26&amp;"|"&amp;TEXT(15,"00"),Voortgang!$M$5:$M$504,0)),"Gereed","G","Loopt","L","Geblokkeerd","B","Niet van toepassing","nvt","Niet gestart","-","-"),""))</f>
        <v/>
      </c>
      <c r="R26" s="33" t="str">
        <f aca="false">IF($A26="","",IFERROR(_xlfn.SWITCH(INDEX(Voortgang!$G$5:$G$504,MATCH($A26&amp;"|"&amp;TEXT(16,"00"),Voortgang!$M$5:$M$504,0)),"Gereed","G","Loopt","L","Geblokkeerd","B","Niet van toepassing","nvt","Niet gestart","-","-"),""))</f>
        <v/>
      </c>
      <c r="S26" s="33" t="str">
        <f aca="false">IF($A26="","",IFERROR(_xlfn.SWITCH(INDEX(Voortgang!$G$5:$G$504,MATCH($A26&amp;"|"&amp;TEXT(17,"00"),Voortgang!$M$5:$M$504,0)),"Gereed","G","Loopt","L","Geblokkeerd","B","Niet van toepassing","nvt","Niet gestart","-","-"),""))</f>
        <v/>
      </c>
      <c r="T26" s="33" t="str">
        <f aca="false">IF($A26="","",IFERROR(_xlfn.SWITCH(INDEX(Voortgang!$G$5:$G$504,MATCH($A26&amp;"|"&amp;TEXT(18,"00"),Voortgang!$M$5:$M$504,0)),"Gereed","G","Loopt","L","Geblokkeerd","B","Niet van toepassing","nvt","Niet gestart","-","-"),""))</f>
        <v/>
      </c>
      <c r="U26" s="33" t="str">
        <f aca="false">IF($A26="","",IFERROR(_xlfn.SWITCH(INDEX(Voortgang!$G$5:$G$504,MATCH($A26&amp;"|"&amp;TEXT(19,"00"),Voortgang!$M$5:$M$504,0)),"Gereed","G","Loopt","L","Geblokkeerd","B","Niet van toepassing","nvt","Niet gestart","-","-"),""))</f>
        <v/>
      </c>
    </row>
    <row r="27" customFormat="false" ht="15" hidden="false" customHeight="false" outlineLevel="0" collapsed="false">
      <c r="A27" s="27" t="str">
        <f aca="false">IFERROR(IF(INDEX(Overzicht!$C$5:$C$44,23)="","",IF(INDEX(Overzicht!$C$5:$C$44,23)="Energiehub",INDEX(Overzicht!$A$5:$A$44,23),"")),"")</f>
        <v/>
      </c>
      <c r="B27" s="27" t="str">
        <f aca="false">IF($A27="","",INDEX(Overzicht!$B$5:$B$44,23))</f>
        <v/>
      </c>
      <c r="C27" s="33" t="str">
        <f aca="false">IF($A27="","",IFERROR(_xlfn.SWITCH(INDEX(Voortgang!$G$5:$G$504,MATCH($A27&amp;"|"&amp;TEXT(1,"00"),Voortgang!$M$5:$M$504,0)),"Gereed","G","Loopt","L","Geblokkeerd","B","Niet van toepassing","nvt","Niet gestart","-","-"),""))</f>
        <v/>
      </c>
      <c r="D27" s="33" t="str">
        <f aca="false">IF($A27="","",IFERROR(_xlfn.SWITCH(INDEX(Voortgang!$G$5:$G$504,MATCH($A27&amp;"|"&amp;TEXT(2,"00"),Voortgang!$M$5:$M$504,0)),"Gereed","G","Loopt","L","Geblokkeerd","B","Niet van toepassing","nvt","Niet gestart","-","-"),""))</f>
        <v/>
      </c>
      <c r="E27" s="33" t="str">
        <f aca="false">IF($A27="","",IFERROR(_xlfn.SWITCH(INDEX(Voortgang!$G$5:$G$504,MATCH($A27&amp;"|"&amp;TEXT(3,"00"),Voortgang!$M$5:$M$504,0)),"Gereed","G","Loopt","L","Geblokkeerd","B","Niet van toepassing","nvt","Niet gestart","-","-"),""))</f>
        <v/>
      </c>
      <c r="F27" s="33" t="str">
        <f aca="false">IF($A27="","",IFERROR(_xlfn.SWITCH(INDEX(Voortgang!$G$5:$G$504,MATCH($A27&amp;"|"&amp;TEXT(4,"00"),Voortgang!$M$5:$M$504,0)),"Gereed","G","Loopt","L","Geblokkeerd","B","Niet van toepassing","nvt","Niet gestart","-","-"),""))</f>
        <v/>
      </c>
      <c r="G27" s="33" t="str">
        <f aca="false">IF($A27="","",IFERROR(_xlfn.SWITCH(INDEX(Voortgang!$G$5:$G$504,MATCH($A27&amp;"|"&amp;TEXT(5,"00"),Voortgang!$M$5:$M$504,0)),"Gereed","G","Loopt","L","Geblokkeerd","B","Niet van toepassing","nvt","Niet gestart","-","-"),""))</f>
        <v/>
      </c>
      <c r="H27" s="33" t="str">
        <f aca="false">IF($A27="","",IFERROR(_xlfn.SWITCH(INDEX(Voortgang!$G$5:$G$504,MATCH($A27&amp;"|"&amp;TEXT(6,"00"),Voortgang!$M$5:$M$504,0)),"Gereed","G","Loopt","L","Geblokkeerd","B","Niet van toepassing","nvt","Niet gestart","-","-"),""))</f>
        <v/>
      </c>
      <c r="I27" s="33" t="str">
        <f aca="false">IF($A27="","",IFERROR(_xlfn.SWITCH(INDEX(Voortgang!$G$5:$G$504,MATCH($A27&amp;"|"&amp;TEXT(7,"00"),Voortgang!$M$5:$M$504,0)),"Gereed","G","Loopt","L","Geblokkeerd","B","Niet van toepassing","nvt","Niet gestart","-","-"),""))</f>
        <v/>
      </c>
      <c r="J27" s="33" t="str">
        <f aca="false">IF($A27="","",IFERROR(_xlfn.SWITCH(INDEX(Voortgang!$G$5:$G$504,MATCH($A27&amp;"|"&amp;TEXT(8,"00"),Voortgang!$M$5:$M$504,0)),"Gereed","G","Loopt","L","Geblokkeerd","B","Niet van toepassing","nvt","Niet gestart","-","-"),""))</f>
        <v/>
      </c>
      <c r="K27" s="33" t="str">
        <f aca="false">IF($A27="","",IFERROR(_xlfn.SWITCH(INDEX(Voortgang!$G$5:$G$504,MATCH($A27&amp;"|"&amp;TEXT(9,"00"),Voortgang!$M$5:$M$504,0)),"Gereed","G","Loopt","L","Geblokkeerd","B","Niet van toepassing","nvt","Niet gestart","-","-"),""))</f>
        <v/>
      </c>
      <c r="L27" s="33" t="str">
        <f aca="false">IF($A27="","",IFERROR(_xlfn.SWITCH(INDEX(Voortgang!$G$5:$G$504,MATCH($A27&amp;"|"&amp;TEXT(10,"00"),Voortgang!$M$5:$M$504,0)),"Gereed","G","Loopt","L","Geblokkeerd","B","Niet van toepassing","nvt","Niet gestart","-","-"),""))</f>
        <v/>
      </c>
      <c r="M27" s="33" t="str">
        <f aca="false">IF($A27="","",IFERROR(_xlfn.SWITCH(INDEX(Voortgang!$G$5:$G$504,MATCH($A27&amp;"|"&amp;TEXT(11,"00"),Voortgang!$M$5:$M$504,0)),"Gereed","G","Loopt","L","Geblokkeerd","B","Niet van toepassing","nvt","Niet gestart","-","-"),""))</f>
        <v/>
      </c>
      <c r="N27" s="33" t="str">
        <f aca="false">IF($A27="","",IFERROR(_xlfn.SWITCH(INDEX(Voortgang!$G$5:$G$504,MATCH($A27&amp;"|"&amp;TEXT(12,"00"),Voortgang!$M$5:$M$504,0)),"Gereed","G","Loopt","L","Geblokkeerd","B","Niet van toepassing","nvt","Niet gestart","-","-"),""))</f>
        <v/>
      </c>
      <c r="O27" s="33" t="str">
        <f aca="false">IF($A27="","",IFERROR(_xlfn.SWITCH(INDEX(Voortgang!$G$5:$G$504,MATCH($A27&amp;"|"&amp;TEXT(13,"00"),Voortgang!$M$5:$M$504,0)),"Gereed","G","Loopt","L","Geblokkeerd","B","Niet van toepassing","nvt","Niet gestart","-","-"),""))</f>
        <v/>
      </c>
      <c r="P27" s="33" t="str">
        <f aca="false">IF($A27="","",IFERROR(_xlfn.SWITCH(INDEX(Voortgang!$G$5:$G$504,MATCH($A27&amp;"|"&amp;TEXT(14,"00"),Voortgang!$M$5:$M$504,0)),"Gereed","G","Loopt","L","Geblokkeerd","B","Niet van toepassing","nvt","Niet gestart","-","-"),""))</f>
        <v/>
      </c>
      <c r="Q27" s="33" t="str">
        <f aca="false">IF($A27="","",IFERROR(_xlfn.SWITCH(INDEX(Voortgang!$G$5:$G$504,MATCH($A27&amp;"|"&amp;TEXT(15,"00"),Voortgang!$M$5:$M$504,0)),"Gereed","G","Loopt","L","Geblokkeerd","B","Niet van toepassing","nvt","Niet gestart","-","-"),""))</f>
        <v/>
      </c>
      <c r="R27" s="33" t="str">
        <f aca="false">IF($A27="","",IFERROR(_xlfn.SWITCH(INDEX(Voortgang!$G$5:$G$504,MATCH($A27&amp;"|"&amp;TEXT(16,"00"),Voortgang!$M$5:$M$504,0)),"Gereed","G","Loopt","L","Geblokkeerd","B","Niet van toepassing","nvt","Niet gestart","-","-"),""))</f>
        <v/>
      </c>
      <c r="S27" s="33" t="str">
        <f aca="false">IF($A27="","",IFERROR(_xlfn.SWITCH(INDEX(Voortgang!$G$5:$G$504,MATCH($A27&amp;"|"&amp;TEXT(17,"00"),Voortgang!$M$5:$M$504,0)),"Gereed","G","Loopt","L","Geblokkeerd","B","Niet van toepassing","nvt","Niet gestart","-","-"),""))</f>
        <v/>
      </c>
      <c r="T27" s="33" t="str">
        <f aca="false">IF($A27="","",IFERROR(_xlfn.SWITCH(INDEX(Voortgang!$G$5:$G$504,MATCH($A27&amp;"|"&amp;TEXT(18,"00"),Voortgang!$M$5:$M$504,0)),"Gereed","G","Loopt","L","Geblokkeerd","B","Niet van toepassing","nvt","Niet gestart","-","-"),""))</f>
        <v/>
      </c>
      <c r="U27" s="33" t="str">
        <f aca="false">IF($A27="","",IFERROR(_xlfn.SWITCH(INDEX(Voortgang!$G$5:$G$504,MATCH($A27&amp;"|"&amp;TEXT(19,"00"),Voortgang!$M$5:$M$504,0)),"Gereed","G","Loopt","L","Geblokkeerd","B","Niet van toepassing","nvt","Niet gestart","-","-"),""))</f>
        <v/>
      </c>
    </row>
    <row r="28" customFormat="false" ht="15" hidden="false" customHeight="false" outlineLevel="0" collapsed="false">
      <c r="A28" s="27" t="str">
        <f aca="false">IFERROR(IF(INDEX(Overzicht!$C$5:$C$44,24)="","",IF(INDEX(Overzicht!$C$5:$C$44,24)="Energiehub",INDEX(Overzicht!$A$5:$A$44,24),"")),"")</f>
        <v/>
      </c>
      <c r="B28" s="27" t="str">
        <f aca="false">IF($A28="","",INDEX(Overzicht!$B$5:$B$44,24))</f>
        <v/>
      </c>
      <c r="C28" s="33" t="str">
        <f aca="false">IF($A28="","",IFERROR(_xlfn.SWITCH(INDEX(Voortgang!$G$5:$G$504,MATCH($A28&amp;"|"&amp;TEXT(1,"00"),Voortgang!$M$5:$M$504,0)),"Gereed","G","Loopt","L","Geblokkeerd","B","Niet van toepassing","nvt","Niet gestart","-","-"),""))</f>
        <v/>
      </c>
      <c r="D28" s="33" t="str">
        <f aca="false">IF($A28="","",IFERROR(_xlfn.SWITCH(INDEX(Voortgang!$G$5:$G$504,MATCH($A28&amp;"|"&amp;TEXT(2,"00"),Voortgang!$M$5:$M$504,0)),"Gereed","G","Loopt","L","Geblokkeerd","B","Niet van toepassing","nvt","Niet gestart","-","-"),""))</f>
        <v/>
      </c>
      <c r="E28" s="33" t="str">
        <f aca="false">IF($A28="","",IFERROR(_xlfn.SWITCH(INDEX(Voortgang!$G$5:$G$504,MATCH($A28&amp;"|"&amp;TEXT(3,"00"),Voortgang!$M$5:$M$504,0)),"Gereed","G","Loopt","L","Geblokkeerd","B","Niet van toepassing","nvt","Niet gestart","-","-"),""))</f>
        <v/>
      </c>
      <c r="F28" s="33" t="str">
        <f aca="false">IF($A28="","",IFERROR(_xlfn.SWITCH(INDEX(Voortgang!$G$5:$G$504,MATCH($A28&amp;"|"&amp;TEXT(4,"00"),Voortgang!$M$5:$M$504,0)),"Gereed","G","Loopt","L","Geblokkeerd","B","Niet van toepassing","nvt","Niet gestart","-","-"),""))</f>
        <v/>
      </c>
      <c r="G28" s="33" t="str">
        <f aca="false">IF($A28="","",IFERROR(_xlfn.SWITCH(INDEX(Voortgang!$G$5:$G$504,MATCH($A28&amp;"|"&amp;TEXT(5,"00"),Voortgang!$M$5:$M$504,0)),"Gereed","G","Loopt","L","Geblokkeerd","B","Niet van toepassing","nvt","Niet gestart","-","-"),""))</f>
        <v/>
      </c>
      <c r="H28" s="33" t="str">
        <f aca="false">IF($A28="","",IFERROR(_xlfn.SWITCH(INDEX(Voortgang!$G$5:$G$504,MATCH($A28&amp;"|"&amp;TEXT(6,"00"),Voortgang!$M$5:$M$504,0)),"Gereed","G","Loopt","L","Geblokkeerd","B","Niet van toepassing","nvt","Niet gestart","-","-"),""))</f>
        <v/>
      </c>
      <c r="I28" s="33" t="str">
        <f aca="false">IF($A28="","",IFERROR(_xlfn.SWITCH(INDEX(Voortgang!$G$5:$G$504,MATCH($A28&amp;"|"&amp;TEXT(7,"00"),Voortgang!$M$5:$M$504,0)),"Gereed","G","Loopt","L","Geblokkeerd","B","Niet van toepassing","nvt","Niet gestart","-","-"),""))</f>
        <v/>
      </c>
      <c r="J28" s="33" t="str">
        <f aca="false">IF($A28="","",IFERROR(_xlfn.SWITCH(INDEX(Voortgang!$G$5:$G$504,MATCH($A28&amp;"|"&amp;TEXT(8,"00"),Voortgang!$M$5:$M$504,0)),"Gereed","G","Loopt","L","Geblokkeerd","B","Niet van toepassing","nvt","Niet gestart","-","-"),""))</f>
        <v/>
      </c>
      <c r="K28" s="33" t="str">
        <f aca="false">IF($A28="","",IFERROR(_xlfn.SWITCH(INDEX(Voortgang!$G$5:$G$504,MATCH($A28&amp;"|"&amp;TEXT(9,"00"),Voortgang!$M$5:$M$504,0)),"Gereed","G","Loopt","L","Geblokkeerd","B","Niet van toepassing","nvt","Niet gestart","-","-"),""))</f>
        <v/>
      </c>
      <c r="L28" s="33" t="str">
        <f aca="false">IF($A28="","",IFERROR(_xlfn.SWITCH(INDEX(Voortgang!$G$5:$G$504,MATCH($A28&amp;"|"&amp;TEXT(10,"00"),Voortgang!$M$5:$M$504,0)),"Gereed","G","Loopt","L","Geblokkeerd","B","Niet van toepassing","nvt","Niet gestart","-","-"),""))</f>
        <v/>
      </c>
      <c r="M28" s="33" t="str">
        <f aca="false">IF($A28="","",IFERROR(_xlfn.SWITCH(INDEX(Voortgang!$G$5:$G$504,MATCH($A28&amp;"|"&amp;TEXT(11,"00"),Voortgang!$M$5:$M$504,0)),"Gereed","G","Loopt","L","Geblokkeerd","B","Niet van toepassing","nvt","Niet gestart","-","-"),""))</f>
        <v/>
      </c>
      <c r="N28" s="33" t="str">
        <f aca="false">IF($A28="","",IFERROR(_xlfn.SWITCH(INDEX(Voortgang!$G$5:$G$504,MATCH($A28&amp;"|"&amp;TEXT(12,"00"),Voortgang!$M$5:$M$504,0)),"Gereed","G","Loopt","L","Geblokkeerd","B","Niet van toepassing","nvt","Niet gestart","-","-"),""))</f>
        <v/>
      </c>
      <c r="O28" s="33" t="str">
        <f aca="false">IF($A28="","",IFERROR(_xlfn.SWITCH(INDEX(Voortgang!$G$5:$G$504,MATCH($A28&amp;"|"&amp;TEXT(13,"00"),Voortgang!$M$5:$M$504,0)),"Gereed","G","Loopt","L","Geblokkeerd","B","Niet van toepassing","nvt","Niet gestart","-","-"),""))</f>
        <v/>
      </c>
      <c r="P28" s="33" t="str">
        <f aca="false">IF($A28="","",IFERROR(_xlfn.SWITCH(INDEX(Voortgang!$G$5:$G$504,MATCH($A28&amp;"|"&amp;TEXT(14,"00"),Voortgang!$M$5:$M$504,0)),"Gereed","G","Loopt","L","Geblokkeerd","B","Niet van toepassing","nvt","Niet gestart","-","-"),""))</f>
        <v/>
      </c>
      <c r="Q28" s="33" t="str">
        <f aca="false">IF($A28="","",IFERROR(_xlfn.SWITCH(INDEX(Voortgang!$G$5:$G$504,MATCH($A28&amp;"|"&amp;TEXT(15,"00"),Voortgang!$M$5:$M$504,0)),"Gereed","G","Loopt","L","Geblokkeerd","B","Niet van toepassing","nvt","Niet gestart","-","-"),""))</f>
        <v/>
      </c>
      <c r="R28" s="33" t="str">
        <f aca="false">IF($A28="","",IFERROR(_xlfn.SWITCH(INDEX(Voortgang!$G$5:$G$504,MATCH($A28&amp;"|"&amp;TEXT(16,"00"),Voortgang!$M$5:$M$504,0)),"Gereed","G","Loopt","L","Geblokkeerd","B","Niet van toepassing","nvt","Niet gestart","-","-"),""))</f>
        <v/>
      </c>
      <c r="S28" s="33" t="str">
        <f aca="false">IF($A28="","",IFERROR(_xlfn.SWITCH(INDEX(Voortgang!$G$5:$G$504,MATCH($A28&amp;"|"&amp;TEXT(17,"00"),Voortgang!$M$5:$M$504,0)),"Gereed","G","Loopt","L","Geblokkeerd","B","Niet van toepassing","nvt","Niet gestart","-","-"),""))</f>
        <v/>
      </c>
      <c r="T28" s="33" t="str">
        <f aca="false">IF($A28="","",IFERROR(_xlfn.SWITCH(INDEX(Voortgang!$G$5:$G$504,MATCH($A28&amp;"|"&amp;TEXT(18,"00"),Voortgang!$M$5:$M$504,0)),"Gereed","G","Loopt","L","Geblokkeerd","B","Niet van toepassing","nvt","Niet gestart","-","-"),""))</f>
        <v/>
      </c>
      <c r="U28" s="33" t="str">
        <f aca="false">IF($A28="","",IFERROR(_xlfn.SWITCH(INDEX(Voortgang!$G$5:$G$504,MATCH($A28&amp;"|"&amp;TEXT(19,"00"),Voortgang!$M$5:$M$504,0)),"Gereed","G","Loopt","L","Geblokkeerd","B","Niet van toepassing","nvt","Niet gestart","-","-"),""))</f>
        <v/>
      </c>
    </row>
    <row r="29" customFormat="false" ht="15" hidden="false" customHeight="false" outlineLevel="0" collapsed="false">
      <c r="A29" s="27" t="str">
        <f aca="false">IFERROR(IF(INDEX(Overzicht!$C$5:$C$44,25)="","",IF(INDEX(Overzicht!$C$5:$C$44,25)="Energiehub",INDEX(Overzicht!$A$5:$A$44,25),"")),"")</f>
        <v/>
      </c>
      <c r="B29" s="27" t="str">
        <f aca="false">IF($A29="","",INDEX(Overzicht!$B$5:$B$44,25))</f>
        <v/>
      </c>
      <c r="C29" s="33" t="str">
        <f aca="false">IF($A29="","",IFERROR(_xlfn.SWITCH(INDEX(Voortgang!$G$5:$G$504,MATCH($A29&amp;"|"&amp;TEXT(1,"00"),Voortgang!$M$5:$M$504,0)),"Gereed","G","Loopt","L","Geblokkeerd","B","Niet van toepassing","nvt","Niet gestart","-","-"),""))</f>
        <v/>
      </c>
      <c r="D29" s="33" t="str">
        <f aca="false">IF($A29="","",IFERROR(_xlfn.SWITCH(INDEX(Voortgang!$G$5:$G$504,MATCH($A29&amp;"|"&amp;TEXT(2,"00"),Voortgang!$M$5:$M$504,0)),"Gereed","G","Loopt","L","Geblokkeerd","B","Niet van toepassing","nvt","Niet gestart","-","-"),""))</f>
        <v/>
      </c>
      <c r="E29" s="33" t="str">
        <f aca="false">IF($A29="","",IFERROR(_xlfn.SWITCH(INDEX(Voortgang!$G$5:$G$504,MATCH($A29&amp;"|"&amp;TEXT(3,"00"),Voortgang!$M$5:$M$504,0)),"Gereed","G","Loopt","L","Geblokkeerd","B","Niet van toepassing","nvt","Niet gestart","-","-"),""))</f>
        <v/>
      </c>
      <c r="F29" s="33" t="str">
        <f aca="false">IF($A29="","",IFERROR(_xlfn.SWITCH(INDEX(Voortgang!$G$5:$G$504,MATCH($A29&amp;"|"&amp;TEXT(4,"00"),Voortgang!$M$5:$M$504,0)),"Gereed","G","Loopt","L","Geblokkeerd","B","Niet van toepassing","nvt","Niet gestart","-","-"),""))</f>
        <v/>
      </c>
      <c r="G29" s="33" t="str">
        <f aca="false">IF($A29="","",IFERROR(_xlfn.SWITCH(INDEX(Voortgang!$G$5:$G$504,MATCH($A29&amp;"|"&amp;TEXT(5,"00"),Voortgang!$M$5:$M$504,0)),"Gereed","G","Loopt","L","Geblokkeerd","B","Niet van toepassing","nvt","Niet gestart","-","-"),""))</f>
        <v/>
      </c>
      <c r="H29" s="33" t="str">
        <f aca="false">IF($A29="","",IFERROR(_xlfn.SWITCH(INDEX(Voortgang!$G$5:$G$504,MATCH($A29&amp;"|"&amp;TEXT(6,"00"),Voortgang!$M$5:$M$504,0)),"Gereed","G","Loopt","L","Geblokkeerd","B","Niet van toepassing","nvt","Niet gestart","-","-"),""))</f>
        <v/>
      </c>
      <c r="I29" s="33" t="str">
        <f aca="false">IF($A29="","",IFERROR(_xlfn.SWITCH(INDEX(Voortgang!$G$5:$G$504,MATCH($A29&amp;"|"&amp;TEXT(7,"00"),Voortgang!$M$5:$M$504,0)),"Gereed","G","Loopt","L","Geblokkeerd","B","Niet van toepassing","nvt","Niet gestart","-","-"),""))</f>
        <v/>
      </c>
      <c r="J29" s="33" t="str">
        <f aca="false">IF($A29="","",IFERROR(_xlfn.SWITCH(INDEX(Voortgang!$G$5:$G$504,MATCH($A29&amp;"|"&amp;TEXT(8,"00"),Voortgang!$M$5:$M$504,0)),"Gereed","G","Loopt","L","Geblokkeerd","B","Niet van toepassing","nvt","Niet gestart","-","-"),""))</f>
        <v/>
      </c>
      <c r="K29" s="33" t="str">
        <f aca="false">IF($A29="","",IFERROR(_xlfn.SWITCH(INDEX(Voortgang!$G$5:$G$504,MATCH($A29&amp;"|"&amp;TEXT(9,"00"),Voortgang!$M$5:$M$504,0)),"Gereed","G","Loopt","L","Geblokkeerd","B","Niet van toepassing","nvt","Niet gestart","-","-"),""))</f>
        <v/>
      </c>
      <c r="L29" s="33" t="str">
        <f aca="false">IF($A29="","",IFERROR(_xlfn.SWITCH(INDEX(Voortgang!$G$5:$G$504,MATCH($A29&amp;"|"&amp;TEXT(10,"00"),Voortgang!$M$5:$M$504,0)),"Gereed","G","Loopt","L","Geblokkeerd","B","Niet van toepassing","nvt","Niet gestart","-","-"),""))</f>
        <v/>
      </c>
      <c r="M29" s="33" t="str">
        <f aca="false">IF($A29="","",IFERROR(_xlfn.SWITCH(INDEX(Voortgang!$G$5:$G$504,MATCH($A29&amp;"|"&amp;TEXT(11,"00"),Voortgang!$M$5:$M$504,0)),"Gereed","G","Loopt","L","Geblokkeerd","B","Niet van toepassing","nvt","Niet gestart","-","-"),""))</f>
        <v/>
      </c>
      <c r="N29" s="33" t="str">
        <f aca="false">IF($A29="","",IFERROR(_xlfn.SWITCH(INDEX(Voortgang!$G$5:$G$504,MATCH($A29&amp;"|"&amp;TEXT(12,"00"),Voortgang!$M$5:$M$504,0)),"Gereed","G","Loopt","L","Geblokkeerd","B","Niet van toepassing","nvt","Niet gestart","-","-"),""))</f>
        <v/>
      </c>
      <c r="O29" s="33" t="str">
        <f aca="false">IF($A29="","",IFERROR(_xlfn.SWITCH(INDEX(Voortgang!$G$5:$G$504,MATCH($A29&amp;"|"&amp;TEXT(13,"00"),Voortgang!$M$5:$M$504,0)),"Gereed","G","Loopt","L","Geblokkeerd","B","Niet van toepassing","nvt","Niet gestart","-","-"),""))</f>
        <v/>
      </c>
      <c r="P29" s="33" t="str">
        <f aca="false">IF($A29="","",IFERROR(_xlfn.SWITCH(INDEX(Voortgang!$G$5:$G$504,MATCH($A29&amp;"|"&amp;TEXT(14,"00"),Voortgang!$M$5:$M$504,0)),"Gereed","G","Loopt","L","Geblokkeerd","B","Niet van toepassing","nvt","Niet gestart","-","-"),""))</f>
        <v/>
      </c>
      <c r="Q29" s="33" t="str">
        <f aca="false">IF($A29="","",IFERROR(_xlfn.SWITCH(INDEX(Voortgang!$G$5:$G$504,MATCH($A29&amp;"|"&amp;TEXT(15,"00"),Voortgang!$M$5:$M$504,0)),"Gereed","G","Loopt","L","Geblokkeerd","B","Niet van toepassing","nvt","Niet gestart","-","-"),""))</f>
        <v/>
      </c>
      <c r="R29" s="33" t="str">
        <f aca="false">IF($A29="","",IFERROR(_xlfn.SWITCH(INDEX(Voortgang!$G$5:$G$504,MATCH($A29&amp;"|"&amp;TEXT(16,"00"),Voortgang!$M$5:$M$504,0)),"Gereed","G","Loopt","L","Geblokkeerd","B","Niet van toepassing","nvt","Niet gestart","-","-"),""))</f>
        <v/>
      </c>
      <c r="S29" s="33" t="str">
        <f aca="false">IF($A29="","",IFERROR(_xlfn.SWITCH(INDEX(Voortgang!$G$5:$G$504,MATCH($A29&amp;"|"&amp;TEXT(17,"00"),Voortgang!$M$5:$M$504,0)),"Gereed","G","Loopt","L","Geblokkeerd","B","Niet van toepassing","nvt","Niet gestart","-","-"),""))</f>
        <v/>
      </c>
      <c r="T29" s="33" t="str">
        <f aca="false">IF($A29="","",IFERROR(_xlfn.SWITCH(INDEX(Voortgang!$G$5:$G$504,MATCH($A29&amp;"|"&amp;TEXT(18,"00"),Voortgang!$M$5:$M$504,0)),"Gereed","G","Loopt","L","Geblokkeerd","B","Niet van toepassing","nvt","Niet gestart","-","-"),""))</f>
        <v/>
      </c>
      <c r="U29" s="33" t="str">
        <f aca="false">IF($A29="","",IFERROR(_xlfn.SWITCH(INDEX(Voortgang!$G$5:$G$504,MATCH($A29&amp;"|"&amp;TEXT(19,"00"),Voortgang!$M$5:$M$504,0)),"Gereed","G","Loopt","L","Geblokkeerd","B","Niet van toepassing","nvt","Niet gestart","-","-"),""))</f>
        <v/>
      </c>
    </row>
  </sheetData>
  <conditionalFormatting sqref="C5:U29">
    <cfRule type="cellIs" priority="2" operator="equal" aboveAverage="0" equalAverage="0" bottom="0" percent="0" rank="0" text="" dxfId="7">
      <formula>"G"</formula>
    </cfRule>
    <cfRule type="cellIs" priority="3" operator="equal" aboveAverage="0" equalAverage="0" bottom="0" percent="0" rank="0" text="" dxfId="8">
      <formula>"L"</formula>
    </cfRule>
    <cfRule type="cellIs" priority="4" operator="equal" aboveAverage="0" equalAverage="0" bottom="0" percent="0" rank="0" text="" dxfId="9">
      <formula>"B"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2026-09-12T15:58:57Z</dcterms:created>
  <dc:creator>openpyxl</dc:creator>
  <dc:description/>
  <dc:language>en-US</dc:language>
  <cp:lastModifiedBy/>
  <dcterms:modified xsi:type="dcterms:W3CDTF">2026-09-12T15:58:57Z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